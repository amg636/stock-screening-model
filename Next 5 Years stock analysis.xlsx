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https://d.docs.live.net/d1d54da89b6b323b/stock-valuation/"/>
    </mc:Choice>
  </mc:AlternateContent>
  <xr:revisionPtr revIDLastSave="4379" documentId="8_{F960C37A-5D0F-3340-A73B-1678CDC3C989}" xr6:coauthVersionLast="47" xr6:coauthVersionMax="47" xr10:uidLastSave="{53E3A062-4D09-9E44-A3DC-0FE421B4B42E}"/>
  <bookViews>
    <workbookView xWindow="0" yWindow="600" windowWidth="28800" windowHeight="16080" activeTab="2" xr2:uid="{C2692C4A-DFD8-E841-BD66-003967A38088}"/>
  </bookViews>
  <sheets>
    <sheet name="Comm Services" sheetId="1" r:id="rId1"/>
    <sheet name="Tech" sheetId="2" r:id="rId2"/>
    <sheet name="Industrial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a="1"/>
  <c r="B5" i="1" s="1"/>
  <c r="AB4" i="2"/>
  <c r="Z10" i="3"/>
  <c r="X10" i="3"/>
  <c r="K10" i="3"/>
  <c r="J10" i="3"/>
  <c r="Y11" i="3"/>
  <c r="Y12" i="3"/>
  <c r="Y13" i="3"/>
  <c r="Y14" i="3"/>
  <c r="Y15" i="3"/>
  <c r="Y16" i="3"/>
  <c r="Y17" i="3"/>
  <c r="Y18" i="3"/>
  <c r="Y19" i="3"/>
  <c r="Y20" i="3"/>
  <c r="Y21" i="3"/>
  <c r="Y22" i="3"/>
  <c r="Y23" i="3"/>
  <c r="Y24" i="3"/>
  <c r="Y25" i="3"/>
  <c r="Y26" i="3"/>
  <c r="Y27" i="3"/>
  <c r="Y28" i="3"/>
  <c r="Y29" i="3"/>
  <c r="Y30" i="3"/>
  <c r="Y31" i="3"/>
  <c r="Y32" i="3"/>
  <c r="O10" i="3"/>
  <c r="B10" i="3" a="1"/>
  <c r="B10" i="3" s="1"/>
  <c r="D10" i="3" s="1"/>
  <c r="I10" i="3" s="1"/>
  <c r="M10" i="3" s="1"/>
  <c r="J9" i="3"/>
  <c r="O9" i="3"/>
  <c r="B9" i="3" a="1"/>
  <c r="B9" i="3" s="1"/>
  <c r="J8" i="3"/>
  <c r="O8" i="3"/>
  <c r="B8" i="3" a="1"/>
  <c r="B8" i="3" s="1"/>
  <c r="D8" i="3" s="1"/>
  <c r="I8" i="3" s="1"/>
  <c r="B5" i="3" a="1"/>
  <c r="B5" i="3" s="1"/>
  <c r="J5" i="3"/>
  <c r="O5" i="3"/>
  <c r="X5" i="3"/>
  <c r="K5" i="3" s="1"/>
  <c r="Y5" i="3"/>
  <c r="Z5" i="3"/>
  <c r="B7" i="3" a="1"/>
  <c r="B7" i="3" s="1"/>
  <c r="J7" i="3"/>
  <c r="O7" i="3"/>
  <c r="X7" i="3"/>
  <c r="K7" i="3" s="1"/>
  <c r="Y7" i="3"/>
  <c r="Z7" i="3"/>
  <c r="B6" i="3" a="1"/>
  <c r="B6" i="3" s="1"/>
  <c r="J6" i="3"/>
  <c r="O6" i="3"/>
  <c r="X6" i="3"/>
  <c r="K6" i="3" s="1"/>
  <c r="Y6" i="3"/>
  <c r="Z6" i="3"/>
  <c r="B4" i="3" a="1"/>
  <c r="B4" i="3" s="1"/>
  <c r="Z8" i="3"/>
  <c r="Z9" i="3"/>
  <c r="Z11" i="3"/>
  <c r="Z12" i="3"/>
  <c r="Z13" i="3"/>
  <c r="Z14" i="3"/>
  <c r="Z15" i="3"/>
  <c r="Z16" i="3"/>
  <c r="Z17" i="3"/>
  <c r="Z18" i="3"/>
  <c r="Z19" i="3"/>
  <c r="Z20" i="3"/>
  <c r="Z21" i="3"/>
  <c r="Z22" i="3"/>
  <c r="Z23" i="3"/>
  <c r="Z24" i="3"/>
  <c r="Z25" i="3"/>
  <c r="Z26" i="3"/>
  <c r="Y8" i="3"/>
  <c r="Y9" i="3"/>
  <c r="X8" i="3"/>
  <c r="X9" i="3"/>
  <c r="X11" i="3"/>
  <c r="X12" i="3"/>
  <c r="X13" i="3"/>
  <c r="X14" i="3"/>
  <c r="X15" i="3"/>
  <c r="X16" i="3"/>
  <c r="X17" i="3"/>
  <c r="X18" i="3"/>
  <c r="X19" i="3"/>
  <c r="X20" i="3"/>
  <c r="X21" i="3"/>
  <c r="X22" i="3"/>
  <c r="X23" i="3"/>
  <c r="X24" i="3"/>
  <c r="X25" i="3"/>
  <c r="X26" i="3"/>
  <c r="X27" i="3"/>
  <c r="X28" i="3"/>
  <c r="Z4" i="3"/>
  <c r="X4" i="3"/>
  <c r="O4" i="3"/>
  <c r="J4" i="3"/>
  <c r="Q10" i="2"/>
  <c r="Q6" i="1"/>
  <c r="J6" i="1"/>
  <c r="AC6" i="1"/>
  <c r="AA6" i="1"/>
  <c r="AB6" i="1"/>
  <c r="B6" i="1" a="1"/>
  <c r="B6" i="1" s="1"/>
  <c r="D6" i="1" s="1"/>
  <c r="I6" i="1" s="1"/>
  <c r="O6" i="1" s="1"/>
  <c r="Q7" i="2"/>
  <c r="W7" i="2"/>
  <c r="J7" i="2" s="1"/>
  <c r="Q5" i="2"/>
  <c r="Q8" i="2"/>
  <c r="Q6" i="2"/>
  <c r="Q9" i="2"/>
  <c r="Q4" i="2"/>
  <c r="AB8" i="2"/>
  <c r="Z8" i="2"/>
  <c r="Z10" i="2"/>
  <c r="I10" i="2"/>
  <c r="O10" i="2" s="1"/>
  <c r="B10" i="2" a="1"/>
  <c r="B10" i="2" s="1"/>
  <c r="M10" i="2" s="1"/>
  <c r="N10" i="2" s="1"/>
  <c r="J10" i="2"/>
  <c r="AA10" i="2"/>
  <c r="AB10" i="2"/>
  <c r="B8" i="2" a="1"/>
  <c r="B8" i="2" s="1"/>
  <c r="M8" i="2" s="1"/>
  <c r="N8" i="2" s="1"/>
  <c r="C8" i="2"/>
  <c r="J8" i="2"/>
  <c r="AA8" i="2"/>
  <c r="B5" i="2" a="1"/>
  <c r="B5" i="2" s="1"/>
  <c r="D5" i="2" s="1"/>
  <c r="I5" i="2" s="1"/>
  <c r="O5" i="2" s="1"/>
  <c r="J5" i="2"/>
  <c r="Z5" i="2"/>
  <c r="AA5" i="2"/>
  <c r="AB5" i="2"/>
  <c r="B6" i="2" a="1"/>
  <c r="B6" i="2" s="1"/>
  <c r="D6" i="2" s="1"/>
  <c r="J6" i="2"/>
  <c r="Z6" i="2"/>
  <c r="AA6" i="2"/>
  <c r="AB6" i="2"/>
  <c r="B9" i="2" a="1"/>
  <c r="B9" i="2" s="1"/>
  <c r="M9" i="2" s="1"/>
  <c r="N9" i="2" s="1"/>
  <c r="J9" i="2"/>
  <c r="Z9" i="2"/>
  <c r="AA9" i="2"/>
  <c r="AB9" i="2"/>
  <c r="B4" i="2" a="1"/>
  <c r="B4" i="2" s="1"/>
  <c r="D4" i="2" s="1"/>
  <c r="J4" i="2"/>
  <c r="Z4" i="2"/>
  <c r="AA4" i="2"/>
  <c r="B7" i="2" a="1"/>
  <c r="B7" i="2" s="1"/>
  <c r="D7" i="2" s="1"/>
  <c r="I7" i="2" s="1"/>
  <c r="O7" i="2" s="1"/>
  <c r="Z7" i="2"/>
  <c r="AB7" i="2"/>
  <c r="Q7" i="1"/>
  <c r="J7" i="1"/>
  <c r="AC10" i="1"/>
  <c r="AC7" i="1"/>
  <c r="AB7" i="1"/>
  <c r="AA7" i="1"/>
  <c r="B7" i="1" a="1"/>
  <c r="B7" i="1" s="1"/>
  <c r="D7" i="1" s="1"/>
  <c r="I7" i="1" s="1"/>
  <c r="O7" i="1" s="1"/>
  <c r="G13" i="1" a="1"/>
  <c r="G13" i="1" s="1"/>
  <c r="Q13" i="1" s="1"/>
  <c r="B12" i="1" a="1"/>
  <c r="B12" i="1" s="1"/>
  <c r="M12" i="1" s="1"/>
  <c r="N12" i="1" s="1"/>
  <c r="G9" i="1" a="1"/>
  <c r="G9" i="1" s="1"/>
  <c r="Q9" i="1" s="1"/>
  <c r="B8" i="1" a="1"/>
  <c r="B8" i="1" s="1"/>
  <c r="M8" i="1" s="1"/>
  <c r="N8" i="1" s="1"/>
  <c r="B4" i="1" a="1"/>
  <c r="B4" i="1" s="1"/>
  <c r="M4" i="1" s="1"/>
  <c r="N4" i="1" s="1"/>
  <c r="B11" i="1" a="1"/>
  <c r="B11" i="1" s="1"/>
  <c r="D11" i="1" s="1"/>
  <c r="Q10" i="1"/>
  <c r="J10" i="1"/>
  <c r="AB10" i="1"/>
  <c r="AA10" i="1"/>
  <c r="C8" i="1"/>
  <c r="C12" i="1"/>
  <c r="C13" i="1"/>
  <c r="C14" i="1"/>
  <c r="B10" i="1" a="1"/>
  <c r="B10" i="1" s="1"/>
  <c r="D10" i="1" s="1"/>
  <c r="I10" i="1" s="1"/>
  <c r="O10" i="1" s="1"/>
  <c r="J11" i="1"/>
  <c r="AC11" i="1"/>
  <c r="AB11" i="1"/>
  <c r="AA11" i="1"/>
  <c r="B14" i="1" a="1"/>
  <c r="B14" i="1" s="1"/>
  <c r="M14" i="1" s="1"/>
  <c r="N14" i="1" s="1"/>
  <c r="AA8" i="1"/>
  <c r="AA9" i="1"/>
  <c r="AA12" i="1"/>
  <c r="AA13" i="1"/>
  <c r="AA14" i="1"/>
  <c r="AC8" i="1"/>
  <c r="AC9" i="1"/>
  <c r="AC12" i="1"/>
  <c r="AC13" i="1"/>
  <c r="AC14" i="1"/>
  <c r="AC4" i="1"/>
  <c r="AB8" i="1"/>
  <c r="AB9" i="1"/>
  <c r="AB12" i="1"/>
  <c r="AB13" i="1"/>
  <c r="AB14" i="1"/>
  <c r="AB4" i="1"/>
  <c r="J9" i="1"/>
  <c r="J12" i="1"/>
  <c r="J13" i="1"/>
  <c r="J14" i="1"/>
  <c r="J8" i="1"/>
  <c r="J4" i="1"/>
  <c r="C4" i="1"/>
  <c r="G8" i="1" a="1"/>
  <c r="G8" i="1" s="1"/>
  <c r="Q8" i="1" s="1"/>
  <c r="G14" i="1" a="1"/>
  <c r="G14" i="1" s="1"/>
  <c r="Q14" i="1" s="1"/>
  <c r="G4" i="1" a="1"/>
  <c r="G4" i="1" s="1"/>
  <c r="Q4" i="1" s="1"/>
  <c r="I9" i="1" l="1"/>
  <c r="O9" i="1" s="1"/>
  <c r="M4" i="2"/>
  <c r="N4" i="2" s="1"/>
  <c r="M7" i="2"/>
  <c r="N7" i="2" s="1"/>
  <c r="M6" i="2"/>
  <c r="N6" i="2" s="1"/>
  <c r="M5" i="2"/>
  <c r="N5" i="2" s="1"/>
  <c r="M11" i="1"/>
  <c r="N11" i="1" s="1"/>
  <c r="M10" i="1"/>
  <c r="N10" i="1" s="1"/>
  <c r="M6" i="1"/>
  <c r="N6" i="1" s="1"/>
  <c r="M7" i="1"/>
  <c r="N7" i="1" s="1"/>
  <c r="K6" i="1"/>
  <c r="R6" i="1" s="1"/>
  <c r="S6" i="1" s="1"/>
  <c r="T6" i="1" s="1"/>
  <c r="D14" i="1"/>
  <c r="I14" i="1" s="1"/>
  <c r="D12" i="1"/>
  <c r="D4" i="1"/>
  <c r="I4" i="1" s="1"/>
  <c r="O4" i="1" s="1"/>
  <c r="P10" i="3"/>
  <c r="Q10" i="3" s="1"/>
  <c r="R10" i="3" s="1"/>
  <c r="L10" i="3"/>
  <c r="N10" i="3" s="1"/>
  <c r="K9" i="3"/>
  <c r="P9" i="3" s="1"/>
  <c r="Q9" i="3" s="1"/>
  <c r="K8" i="3"/>
  <c r="P8" i="3" s="1"/>
  <c r="Q8" i="3" s="1"/>
  <c r="L9" i="3"/>
  <c r="N9" i="3" s="1"/>
  <c r="D9" i="3"/>
  <c r="I9" i="3" s="1"/>
  <c r="M9" i="3" s="1"/>
  <c r="M8" i="3"/>
  <c r="P5" i="3"/>
  <c r="Q5" i="3" s="1"/>
  <c r="L8" i="3"/>
  <c r="N8" i="3" s="1"/>
  <c r="D7" i="3"/>
  <c r="I7" i="3" s="1"/>
  <c r="M7" i="3" s="1"/>
  <c r="L7" i="3"/>
  <c r="N7" i="3" s="1"/>
  <c r="D6" i="3"/>
  <c r="I6" i="3" s="1"/>
  <c r="M6" i="3" s="1"/>
  <c r="L6" i="3"/>
  <c r="N6" i="3" s="1"/>
  <c r="P6" i="3"/>
  <c r="Q6" i="3" s="1"/>
  <c r="P7" i="3"/>
  <c r="Q7" i="3" s="1"/>
  <c r="D5" i="3"/>
  <c r="I5" i="3" s="1"/>
  <c r="M5" i="3" s="1"/>
  <c r="L5" i="3"/>
  <c r="N5" i="3" s="1"/>
  <c r="K4" i="3"/>
  <c r="L4" i="3" s="1"/>
  <c r="N4" i="3" s="1"/>
  <c r="D4" i="3"/>
  <c r="I4" i="3" s="1"/>
  <c r="M4" i="3" s="1"/>
  <c r="AA7" i="2"/>
  <c r="K7" i="2" s="1"/>
  <c r="R7" i="2" s="1"/>
  <c r="S7" i="2" s="1"/>
  <c r="T7" i="2" s="1"/>
  <c r="K7" i="1"/>
  <c r="L7" i="1" s="1"/>
  <c r="P7" i="1" s="1"/>
  <c r="K10" i="1"/>
  <c r="L10" i="1" s="1"/>
  <c r="P10" i="1" s="1"/>
  <c r="K11" i="1"/>
  <c r="R11" i="1" s="1"/>
  <c r="K4" i="1"/>
  <c r="R4" i="1" s="1"/>
  <c r="S4" i="1" s="1"/>
  <c r="K5" i="2"/>
  <c r="K10" i="2"/>
  <c r="R10" i="2" s="1"/>
  <c r="S10" i="2" s="1"/>
  <c r="T10" i="2" s="1"/>
  <c r="K6" i="2"/>
  <c r="K9" i="2"/>
  <c r="K4" i="2"/>
  <c r="K8" i="2"/>
  <c r="D8" i="2"/>
  <c r="I8" i="2" s="1"/>
  <c r="O8" i="2" s="1"/>
  <c r="I4" i="2"/>
  <c r="O4" i="2" s="1"/>
  <c r="I6" i="2"/>
  <c r="O6" i="2" s="1"/>
  <c r="I9" i="2"/>
  <c r="O9" i="2" s="1"/>
  <c r="B13" i="1" a="1"/>
  <c r="B13" i="1" s="1"/>
  <c r="M13" i="1" s="1"/>
  <c r="N13" i="1" s="1"/>
  <c r="B9" i="1" a="1"/>
  <c r="B9" i="1" s="1"/>
  <c r="M9" i="1" s="1"/>
  <c r="N9" i="1" s="1"/>
  <c r="G12" i="1" a="1"/>
  <c r="G12" i="1" s="1"/>
  <c r="Q12" i="1" s="1"/>
  <c r="K14" i="1"/>
  <c r="R14" i="1" s="1"/>
  <c r="S14" i="1" s="1"/>
  <c r="K13" i="1"/>
  <c r="K12" i="1"/>
  <c r="L12" i="1" s="1"/>
  <c r="P12" i="1" s="1"/>
  <c r="K9" i="1"/>
  <c r="K8" i="1"/>
  <c r="L8" i="1" s="1"/>
  <c r="P8" i="1" s="1"/>
  <c r="D8" i="1"/>
  <c r="R5" i="3" l="1"/>
  <c r="L6" i="1"/>
  <c r="P6" i="1" s="1"/>
  <c r="R7" i="1"/>
  <c r="S7" i="1" s="1"/>
  <c r="T7" i="1" s="1"/>
  <c r="L4" i="1"/>
  <c r="P4" i="1" s="1"/>
  <c r="R10" i="1"/>
  <c r="S10" i="1" s="1"/>
  <c r="T10" i="1" s="1"/>
  <c r="R6" i="3"/>
  <c r="R7" i="3"/>
  <c r="R8" i="3"/>
  <c r="R9" i="3"/>
  <c r="T4" i="1"/>
  <c r="P4" i="3"/>
  <c r="Q4" i="3" s="1"/>
  <c r="R4" i="3" s="1"/>
  <c r="L13" i="1"/>
  <c r="P13" i="1" s="1"/>
  <c r="D13" i="1"/>
  <c r="I13" i="1" s="1"/>
  <c r="O13" i="1" s="1"/>
  <c r="S11" i="1"/>
  <c r="T11" i="1" s="1"/>
  <c r="L9" i="2"/>
  <c r="P9" i="2" s="1"/>
  <c r="R9" i="2"/>
  <c r="S9" i="2" s="1"/>
  <c r="T9" i="2" s="1"/>
  <c r="L6" i="2"/>
  <c r="P6" i="2" s="1"/>
  <c r="R6" i="2"/>
  <c r="S6" i="2" s="1"/>
  <c r="T6" i="2" s="1"/>
  <c r="L8" i="2"/>
  <c r="P8" i="2" s="1"/>
  <c r="R8" i="2"/>
  <c r="S8" i="2" s="1"/>
  <c r="T8" i="2" s="1"/>
  <c r="L5" i="2"/>
  <c r="P5" i="2" s="1"/>
  <c r="R5" i="2"/>
  <c r="S5" i="2" s="1"/>
  <c r="T5" i="2" s="1"/>
  <c r="L4" i="2"/>
  <c r="P4" i="2" s="1"/>
  <c r="R4" i="2"/>
  <c r="S4" i="2" s="1"/>
  <c r="T4" i="2" s="1"/>
  <c r="L7" i="2"/>
  <c r="P7" i="2" s="1"/>
  <c r="L11" i="1"/>
  <c r="P11" i="1" s="1"/>
  <c r="L14" i="1"/>
  <c r="P14" i="1" s="1"/>
  <c r="R8" i="1"/>
  <c r="S8" i="1" s="1"/>
  <c r="L10" i="2"/>
  <c r="P10" i="2" s="1"/>
  <c r="R13" i="1"/>
  <c r="S13" i="1" s="1"/>
  <c r="L9" i="1"/>
  <c r="P9" i="1" s="1"/>
  <c r="I8" i="1"/>
  <c r="O8" i="1" s="1"/>
  <c r="O14" i="1"/>
  <c r="T14" i="1" s="1"/>
  <c r="I12" i="1"/>
  <c r="O12" i="1" s="1"/>
  <c r="R9" i="1"/>
  <c r="R12" i="1"/>
  <c r="S12" i="1" s="1"/>
  <c r="T13" i="1" l="1"/>
  <c r="T12" i="1"/>
  <c r="T8" i="1"/>
  <c r="S9" i="1"/>
  <c r="T9"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5">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futureMetadata>
  <cellMetadata count="1">
    <bk>
      <rc t="1" v="0"/>
    </bk>
  </cellMetadata>
  <valueMetadata count="2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valueMetadata>
</metadata>
</file>

<file path=xl/sharedStrings.xml><?xml version="1.0" encoding="utf-8"?>
<sst xmlns="http://schemas.openxmlformats.org/spreadsheetml/2006/main" count="104" uniqueCount="33">
  <si>
    <t>Ticker</t>
  </si>
  <si>
    <t>Price</t>
  </si>
  <si>
    <t>Dividend</t>
  </si>
  <si>
    <t>Divided Yield</t>
  </si>
  <si>
    <t>EPS</t>
  </si>
  <si>
    <t>P/E</t>
  </si>
  <si>
    <t>PE/GY</t>
  </si>
  <si>
    <t>P/FV</t>
  </si>
  <si>
    <t>Buy Signal</t>
  </si>
  <si>
    <t>Wells Fargo</t>
  </si>
  <si>
    <t>Morningstar</t>
  </si>
  <si>
    <t>Growth YoY</t>
  </si>
  <si>
    <t>LT Growth (Fin Viz)</t>
  </si>
  <si>
    <t>-</t>
  </si>
  <si>
    <t>Target Price</t>
  </si>
  <si>
    <t>Yahoo</t>
  </si>
  <si>
    <t>Avg Target Value</t>
  </si>
  <si>
    <t>PEGY Score</t>
  </si>
  <si>
    <t>PTV Score</t>
  </si>
  <si>
    <t>PE Score</t>
  </si>
  <si>
    <t>5Y Target</t>
  </si>
  <si>
    <t>Average 5Y Target Value</t>
  </si>
  <si>
    <t>P/5Y Target</t>
  </si>
  <si>
    <t>Expected 5Y Return</t>
  </si>
  <si>
    <t>Required Return: 80%</t>
  </si>
  <si>
    <t>ExpReturn Score</t>
  </si>
  <si>
    <t>Required Return: 50%</t>
  </si>
  <si>
    <t>Hurdle Ratio: 4%+6%=10%</t>
  </si>
  <si>
    <t>Required Return: 30%</t>
  </si>
  <si>
    <t>Trefis Estimate</t>
  </si>
  <si>
    <t>Buy Signal on Target</t>
  </si>
  <si>
    <t>PFV Score</t>
  </si>
  <si>
    <t>Buy Signal with Fair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</si>
</sst>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_([$$-409]* \(#,##0.00\);_([$$-409]* &quot;-&quot;??_);_(@_)"/>
    <numFmt numFmtId="165" formatCode="&quot;$&quot;#,##0.00"/>
  </numFmts>
  <fonts count="3" x14ac:knownFonts="1">
    <font>
      <sz val="12"/>
      <color theme="1"/>
      <name val="Aptos Narrow"/>
      <family val="2"/>
      <scheme val="minor"/>
    </font>
    <font>
      <sz val="12"/>
      <color rgb="FF232A31"/>
      <name val="Arial"/>
      <family val="2"/>
    </font>
    <font>
      <sz val="12"/>
      <color rgb="FF000000"/>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theme="1"/>
      </left>
      <right style="medium">
        <color theme="1"/>
      </right>
      <top style="medium">
        <color theme="1"/>
      </top>
      <bottom style="medium">
        <color theme="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0" fillId="0" borderId="1" xfId="0" applyBorder="1"/>
    <xf numFmtId="165" fontId="0" fillId="0" borderId="1" xfId="0" applyNumberFormat="1" applyBorder="1"/>
    <xf numFmtId="10" fontId="0" fillId="0" borderId="1" xfId="0" applyNumberFormat="1" applyBorder="1"/>
    <xf numFmtId="164" fontId="0" fillId="0" borderId="1" xfId="0" applyNumberFormat="1" applyBorder="1"/>
    <xf numFmtId="4" fontId="0" fillId="0" borderId="1" xfId="0" applyNumberFormat="1" applyBorder="1"/>
    <xf numFmtId="0" fontId="0" fillId="0" borderId="2" xfId="0" applyBorder="1"/>
    <xf numFmtId="165" fontId="0" fillId="0" borderId="2" xfId="0" applyNumberFormat="1" applyBorder="1"/>
    <xf numFmtId="10" fontId="0" fillId="0" borderId="2" xfId="0" applyNumberFormat="1" applyBorder="1"/>
    <xf numFmtId="165" fontId="2" fillId="0" borderId="2" xfId="0" applyNumberFormat="1" applyFont="1" applyBorder="1"/>
    <xf numFmtId="164" fontId="0" fillId="0" borderId="2" xfId="0" applyNumberFormat="1" applyBorder="1"/>
    <xf numFmtId="4" fontId="0" fillId="0" borderId="2" xfId="0" applyNumberFormat="1" applyBorder="1"/>
    <xf numFmtId="4" fontId="1" fillId="0" borderId="2" xfId="0" applyNumberFormat="1" applyFont="1" applyBorder="1"/>
    <xf numFmtId="10" fontId="0" fillId="2" borderId="2" xfId="0" applyNumberFormat="1" applyFill="1" applyBorder="1"/>
    <xf numFmtId="165" fontId="0" fillId="2" borderId="2" xfId="0" applyNumberFormat="1" applyFill="1" applyBorder="1"/>
    <xf numFmtId="0" fontId="0" fillId="2"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9">
  <rv s="0">
    <v>https://www.bing.com/financeapi/forcetrigger?t=a1u3p2&amp;q=XNAS%3aGOOG&amp;form=skydnc</v>
    <v>Learn more on Bing</v>
  </rv>
  <rv s="1">
    <v>0</v>
    <v>ALPHABET INC. (XNAS:GOOG)</v>
    <v>2</v>
    <v>3</v>
    <v>Finance</v>
    <v>4</v>
    <v>en-US</v>
    <v>a1u3p2</v>
    <v>268435456</v>
    <v>1</v>
    <v>Powered by Refinitiv</v>
    <v>350.15</v>
    <v>142.66</v>
    <v>1.0873999999999999</v>
    <v>-9.6349999999999998</v>
    <v>-2.828E-2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190167</v>
    <v>Nasdaq Stock Market</v>
    <v>XNAS</v>
    <v>XNAS</v>
    <v>1600 Amphitheatre Parkway, MOUNTAIN VIEW, CA, 94043 US</v>
    <v>344.25</v>
    <v>Software &amp; IT Services</v>
    <v>Stock</v>
    <v>46057.736105161719</v>
    <v>0</v>
    <v>331</v>
    <v>3994961355000</v>
    <v>ALPHABET INC.</v>
    <v>ALPHABET INC.</v>
    <v>343.71</v>
    <v>32.692</v>
    <v>340.7</v>
    <v>331.065</v>
    <v>12067000000</v>
    <v>GOOG</v>
    <v>ALPHABET INC. (XNAS:GOOG)</v>
    <v>15005030</v>
    <v>20005523</v>
    <v>2015</v>
  </rv>
  <rv s="2">
    <v>1</v>
  </rv>
  <rv s="0">
    <v>https://www.bing.com/financeapi/forcetrigger?t=a1q6k2&amp;q=XNAS%3aCOST&amp;form=skydnc</v>
    <v>Learn more on Bing</v>
  </rv>
  <rv s="1">
    <v>0</v>
    <v>COSTCO WHOLESALE CORPORATION (XNAS:COST)</v>
    <v>2</v>
    <v>3</v>
    <v>Finance</v>
    <v>4</v>
    <v>en-US</v>
    <v>a1q6k2</v>
    <v>268435456</v>
    <v>1</v>
    <v>Powered by Refinitiv</v>
    <v>1078.2349999999999</v>
    <v>844.06</v>
    <v>1.0123</v>
    <v>13.12</v>
    <v>1.3415999999999999E-2</v>
    <v>USD</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341000</v>
    <v>Nasdaq Stock Market</v>
    <v>XNAS</v>
    <v>XNAS</v>
    <v>999 Lake Dr, ISSAQUAH, WA, 98027- US</v>
    <v>994.59990000000005</v>
    <v>Diversified Retail</v>
    <v>Stock</v>
    <v>46057.736118043751</v>
    <v>3</v>
    <v>982.64499999999998</v>
    <v>439892330176</v>
    <v>COSTCO WHOLESALE CORPORATION</v>
    <v>COSTCO WHOLESALE CORPORATION</v>
    <v>983.73</v>
    <v>53.0871</v>
    <v>977.92</v>
    <v>991.04</v>
    <v>443869400</v>
    <v>COST</v>
    <v>COSTCO WHOLESALE CORPORATION (XNAS:COST)</v>
    <v>1158732</v>
    <v>2630508</v>
    <v>1987</v>
  </rv>
  <rv s="2">
    <v>4</v>
  </rv>
  <rv s="0">
    <v>https://www.bing.com/financeapi/forcetrigger?t=byhk6h&amp;q=XNYS%3aCPNG&amp;form=skydnc</v>
    <v>Learn more on Bing</v>
  </rv>
  <rv s="1">
    <v>0</v>
    <v>COUPANG, INC. (XNYS:CPNG)</v>
    <v>2</v>
    <v>3</v>
    <v>Finance</v>
    <v>4</v>
    <v>en-US</v>
    <v>byhk6h</v>
    <v>268435456</v>
    <v>1</v>
    <v>Powered by Refinitiv</v>
    <v>34.075000000000003</v>
    <v>18.55</v>
    <v>1.1975</v>
    <v>-0.19500000000000001</v>
    <v>-1.0078E-2</v>
    <v>USD</v>
    <v>Coupang, Inc. is a technology company that provides retail, restaurant delivery, video streaming, and fintech services to customers around the world under brands, such as Coupang, Coupang Eats, Coupang Play, Farfetch, and Rocket Now. Through its AI cloud computing service as Coupang Intelligent Cloud (CIC), it enhances its services and operations and provides GPU-as-a-Service (GPUaaS), including to external parties. Its Product Commerce segment includes its core Korean retail (owned inventory) and marketplace offerings (third-party merchants) and Rocket Fresh, its fresh grocery offering, as well as advertising products associated with these offerings. Its Developing Offerings include Coupang Eats, its restaurant ordering and delivery service in Korea, Coupang Play, an online content streaming service in Korea, fintech, its retail operations in Taiwan, as well as advertising products associated with these offerings, and also include Farfetch, its global luxury fashion marketplace.</v>
    <v>95000</v>
    <v>New York Stock Exchange</v>
    <v>XNYS</v>
    <v>XNYS</v>
    <v>720 Olive Way, Suite 600, SEATTLE, WA, 98101 US</v>
    <v>19.75</v>
    <v>Diversified Retail</v>
    <v>Stock</v>
    <v>46057.736120046095</v>
    <v>6</v>
    <v>19.0975</v>
    <v>34989442440</v>
    <v>COUPANG, INC.</v>
    <v>COUPANG, INC.</v>
    <v>19.510000000000002</v>
    <v>92.402299999999997</v>
    <v>19.350000000000001</v>
    <v>19.155000000000001</v>
    <v>1826648000</v>
    <v>CPNG</v>
    <v>COUPANG, INC. (XNYS:CPNG)</v>
    <v>8028156</v>
    <v>22795044</v>
    <v>2010</v>
  </rv>
  <rv s="2">
    <v>7</v>
  </rv>
  <rv s="0">
    <v>https://www.bing.com/financeapi/forcetrigger?t=a1rjec&amp;q=XNAS%3aEA&amp;form=skydnc</v>
    <v>Learn more on Bing</v>
  </rv>
  <rv s="1">
    <v>0</v>
    <v>ELECTRONIC ARTS INC. (XNAS:EA)</v>
    <v>2</v>
    <v>3</v>
    <v>Finance</v>
    <v>4</v>
    <v>en-US</v>
    <v>a1rjec</v>
    <v>268435456</v>
    <v>1</v>
    <v>Powered by Refinitiv</v>
    <v>204.88499999999999</v>
    <v>120.22</v>
    <v>0.74690000000000001</v>
    <v>-4.4000000000000004</v>
    <v>-2.1847999999999999E-2</v>
    <v>USD</v>
    <v>Electronic Arts Inc. is a digital interactive entertainment company. The Company develops and delivers games, content and online services for Internet-connected consoles, mobile devices and personal computers. It develops and publishes games and experiences across diverse genres, such as sports, racing, first-person shooter, action, role-playing and simulation. Its portfolio of brands includes EA SPORTS FC, Battlefield, Apex Legends, The Sims, EA SPORTS Madden NFL, EA SPORTS College Football, Need for Speed, Dragon Age, Titanfall, Plants vs. Zombies and EA SPORTS F1. The Company also offers live services, including extra content, subscription offerings and other revenue generated outside of the sale of its full games. It primarily distributes its console products and services through partners, such as Sony and Microsoft. It distributes its mobile applications and additional content through distributors such as Apple and Google.</v>
    <v>14500</v>
    <v>Nasdaq Stock Market</v>
    <v>XNAS</v>
    <v>XNAS</v>
    <v>209 Redwood Shores Pkwy, REDWOOD CITY, CA, 94065 US</v>
    <v>201.56</v>
    <v>Software &amp; IT Services</v>
    <v>Stock</v>
    <v>46057.736129571094</v>
    <v>9</v>
    <v>196.59</v>
    <v>49268400639</v>
    <v>ELECTRONIC ARTS INC.</v>
    <v>ELECTRONIC ARTS INC.</v>
    <v>201.52</v>
    <v>57.4114</v>
    <v>201.39</v>
    <v>196.99</v>
    <v>250106100</v>
    <v>EA</v>
    <v>ELECTRONIC ARTS INC. (XNAS:EA)</v>
    <v>6144692</v>
    <v>2062073</v>
    <v>1991</v>
  </rv>
  <rv s="2">
    <v>10</v>
  </rv>
  <rv s="0">
    <v>https://www.bing.com/financeapi/forcetrigger?t=a1slm7&amp;q=XNAS%3aMETA&amp;form=skydnc</v>
    <v>Learn more on Bing</v>
  </rv>
  <rv s="1">
    <v>0</v>
    <v>Meta Platforms, Inc. (XNAS:META)</v>
    <v>2</v>
    <v>3</v>
    <v>Finance</v>
    <v>4</v>
    <v>en-US</v>
    <v>a1slm7</v>
    <v>268435456</v>
    <v>1</v>
    <v>Powered by Refinitiv</v>
    <v>796.25</v>
    <v>479.8</v>
    <v>1.2897000000000001</v>
    <v>-23.54</v>
    <v>-3.4032E-2</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688.69</v>
    <v>Software &amp; IT Services</v>
    <v>Stock</v>
    <v>46057.736158008593</v>
    <v>12</v>
    <v>668.08</v>
    <v>1690147468800</v>
    <v>Meta Platforms, Inc.</v>
    <v>Meta Platforms, Inc.</v>
    <v>688.44</v>
    <v>22.2927</v>
    <v>691.7</v>
    <v>668.16</v>
    <v>2529555000</v>
    <v>META</v>
    <v>Meta Platforms, Inc. (XNAS:META)</v>
    <v>8469197</v>
    <v>16736411</v>
    <v>2004</v>
  </rv>
  <rv s="2">
    <v>13</v>
  </rv>
  <rv s="0">
    <v>https://www.bing.com/financeapi/forcetrigger?t=a1ygoc&amp;q=XNAS%3aNFLX&amp;form=skydnc</v>
    <v>Learn more on Bing</v>
  </rv>
  <rv s="1">
    <v>0</v>
    <v>NETFLIX, INC. (XNAS:NFLX)</v>
    <v>2</v>
    <v>3</v>
    <v>Finance</v>
    <v>4</v>
    <v>en-US</v>
    <v>a1ygoc</v>
    <v>268435456</v>
    <v>1</v>
    <v>Powered by Refinitiv</v>
    <v>134.11500000000001</v>
    <v>79.224999999999994</v>
    <v>1.7174</v>
    <v>0.61499999999999999</v>
    <v>7.6930000000000002E-3</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81.435000000000002</v>
    <v>Software &amp; IT Services</v>
    <v>Stock</v>
    <v>46057.736145775001</v>
    <v>15</v>
    <v>79.224999999999994</v>
    <v>340116259910</v>
    <v>NETFLIX, INC.</v>
    <v>NETFLIX, INC.</v>
    <v>79.97</v>
    <v>31.8752</v>
    <v>79.94</v>
    <v>80.555000000000007</v>
    <v>4222162000</v>
    <v>NFLX</v>
    <v>NETFLIX, INC. (XNAS:NFLX)</v>
    <v>24017799</v>
    <v>48425855</v>
    <v>1997</v>
  </rv>
  <rv s="2">
    <v>16</v>
  </rv>
  <rv s="0">
    <v>https://www.bing.com/financeapi/forcetrigger?t=a21cec&amp;q=XNYS%3aPSO&amp;form=skydnc</v>
    <v>Learn more on Bing</v>
  </rv>
  <rv s="1">
    <v>0</v>
    <v>PEARSON PLC (XNYS:PSO)</v>
    <v>2</v>
    <v>5</v>
    <v>Finance</v>
    <v>4</v>
    <v>en-US</v>
    <v>a21cec</v>
    <v>268435456</v>
    <v>1</v>
    <v>Powered by Refinitiv</v>
    <v>17.899999999999999</v>
    <v>12.02</v>
    <v>0.3669</v>
    <v>2.5000000000000001E-2</v>
    <v>2.0439999999999998E-3</v>
    <v>USD</v>
    <v>Pearson PLC is a learning company with its principal operations in the education, assessment and certifications markets. The Company’s divisions include Assessment &amp; Qualifications, Virtual Learning, Higher Education, English Language Learning and Enterprise Learning &amp; Skills. The Assessment &amp; Qualifications division includes Pearson VUE, US Student Assessment, Clinical Assessment, UK-curriculum-based qualifications, such as GCSEs and A levels, as well as courseware for English-speaking regions throughout the world. The Virtual Learning division includes virtual schools and online program management. The Higher Education includes the United States, Canadian, and International Higher Education Courseware businesses. The English Language Learning division includes Pearson Test of English, Institutional Courseware and English Online Solutions. The Enterprise Learning &amp; Skills division includes Vocational Qualifications and Enterprise Solutions.</v>
    <v>17024</v>
    <v>New York Stock Exchange</v>
    <v>XNYS</v>
    <v>XNYS</v>
    <v>80 Strand, LONDON, WC2R 0RL GB</v>
    <v>12.345000000000001</v>
    <v>Media &amp; Publishing</v>
    <v>Stock</v>
    <v>46057.736125613279</v>
    <v>18</v>
    <v>12.02</v>
    <v>8389275300</v>
    <v>PEARSON PLC</v>
    <v>PEARSON PLC</v>
    <v>12.11</v>
    <v>13.6973</v>
    <v>12.23</v>
    <v>12.255000000000001</v>
    <v>635168600</v>
    <v>PSO</v>
    <v>PEARSON PLC (XNYS:PSO)</v>
    <v>1415474</v>
    <v>1031273</v>
    <v>1897</v>
  </rv>
  <rv s="2">
    <v>19</v>
  </rv>
  <rv s="0">
    <v>https://www.bing.com/financeapi/forcetrigger?t=bwve27&amp;q=XNYS%3aRBLX&amp;form=skydnc</v>
    <v>Learn more on Bing</v>
  </rv>
  <rv s="1">
    <v>0</v>
    <v>ROBLOX CORPORATION (XNYS:RBLX)</v>
    <v>2</v>
    <v>3</v>
    <v>Finance</v>
    <v>4</v>
    <v>en-US</v>
    <v>bwve27</v>
    <v>268435456</v>
    <v>1</v>
    <v>Powered by Refinitiv</v>
    <v>150.59</v>
    <v>50.1</v>
    <v>1.6344000000000001</v>
    <v>-2.0099999999999998</v>
    <v>-3.0733999999999997E-2</v>
    <v>USD</v>
    <v>Roblox Corporation operates a platform for connection and communication (Roblox Platform), where every day, people come to create, play, work, learn, and connect with each other in experiences built by its global community of creators. The Company’s platform consists of the Roblox Client, the Roblox Studio, and the Roblox Cloud. Roblox Client is an application that allows users to seamlessly explore 3D immersive experiences. Roblox Studio is the free toolset that allows developers and creators to build, publish, and operate three-dimensional (3D) immersive experiences and other content accessed with the Roblox Client. Roblox Cloud includes the services and infrastructure that power its Platform. The Company operates the Roblox Platform as a live service that allows users to play and socialize with others for free. The Company offers developers and creators the ability to build engaging, immersive experiences and marketplace items that they can easily share with the Roblox community.</v>
    <v>2474</v>
    <v>New York Stock Exchange</v>
    <v>XNYS</v>
    <v>XNYS</v>
    <v>3150 South Delaware Street, SAN MATEO, CA, 94403 US</v>
    <v>64.75</v>
    <v>Software &amp; IT Services</v>
    <v>Stock</v>
    <v>46057.736121897658</v>
    <v>21</v>
    <v>61.83</v>
    <v>44495057445</v>
    <v>ROBLOX CORPORATION</v>
    <v>ROBLOX CORPORATION</v>
    <v>64.319999999999993</v>
    <v>0</v>
    <v>65.400000000000006</v>
    <v>63.39</v>
    <v>701925500</v>
    <v>RBLX</v>
    <v>ROBLOX CORPORATION (XNYS:RBLX)</v>
    <v>6521577</v>
    <v>12564087</v>
    <v>2025</v>
  </rv>
  <rv s="2">
    <v>22</v>
  </rv>
  <rv s="0">
    <v>https://www.bing.com/financeapi/forcetrigger?t=a24c52&amp;q=XNAS%3aTMUS&amp;form=skydnc</v>
    <v>Learn more on Bing</v>
  </rv>
  <rv s="1">
    <v>0</v>
    <v>T-MOBILE US, INC. (XNAS:TMUS)</v>
    <v>2</v>
    <v>3</v>
    <v>Finance</v>
    <v>4</v>
    <v>en-US</v>
    <v>a24c52</v>
    <v>268435456</v>
    <v>1</v>
    <v>Powered by Refinitiv</v>
    <v>276.49</v>
    <v>181.36</v>
    <v>0.43540000000000001</v>
    <v>4.0999999999999996</v>
    <v>2.0740999999999999E-2</v>
    <v>USD</v>
    <v>T-Mobile US, Inc. is a provider of wireless communications services, including voice, messaging and data, under its flagship brands, T-Mobile and Metro by T-Mobile, and Mint Mobile, in the United States, Puerto Rico and the United States Virgin Islands. It provides wireless communications services primarily using its 4G Long Term Evolution network and its 5G technology network. It also offers a selection of wireless devices, including handsets, tablets and other mobile communication devices, and accessories for sale, as well as financing through equipment installment plans. Its primary service plan offering is Go5G Plus, which includes unlimited talk, text and data on its network, 5G access at no extra cost, scam protection features and more. In addition to its wireless communications services, the Company also offers high speed Internet, which includes a fixed wireless product that utilizes the excess capacity of its nationwide 5G network. It also provides advertising solutions.</v>
    <v>70000</v>
    <v>Nasdaq Stock Market</v>
    <v>XNAS</v>
    <v>XNAS</v>
    <v>12920 Se 38Th Street, BELLEVUE, WA, 98006 US</v>
    <v>202.99</v>
    <v>Telecommunications Services</v>
    <v>Stock</v>
    <v>46057.736143274997</v>
    <v>24</v>
    <v>198.76779999999999</v>
    <v>225692342460</v>
    <v>T-MOBILE US, INC.</v>
    <v>T-MOBILE US, INC.</v>
    <v>201.4</v>
    <v>19.405799999999999</v>
    <v>197.68</v>
    <v>201.78</v>
    <v>1118507000</v>
    <v>TMUS</v>
    <v>T-MOBILE US, INC. (XNAS:TMUS)</v>
    <v>2885561</v>
    <v>5777806</v>
    <v>2004</v>
  </rv>
  <rv s="2">
    <v>25</v>
  </rv>
  <rv s="0">
    <v>http://en.wikipedia.org/wiki/Public_domain</v>
    <v>Public domain</v>
  </rv>
  <rv s="0">
    <v>http://en.wikipedia.org/wiki/The_Walt_Disney_Company</v>
    <v>Wikipedia</v>
  </rv>
  <rv s="3">
    <v>27</v>
    <v>28</v>
  </rv>
  <rv s="4">
    <v>10</v>
    <v>https://www.bing.com/th?id=AMMS_0aa288ba528f6f45e3de87d97e250136&amp;qlt=95</v>
    <v>29</v>
    <v>0</v>
    <v>https://www.bing.com/images/search?form=xlimg&amp;q=the+walt+disney+company</v>
    <v>Image of THE WALT DISNEY COMPANY</v>
  </rv>
  <rv s="0">
    <v>https://www.bing.com/financeapi/forcetrigger?t=a1r2z2&amp;q=XNYS%3aDIS&amp;form=skydnc</v>
    <v>Learn more on Bing</v>
  </rv>
  <rv s="5">
    <v>6</v>
    <v>THE WALT DISNEY COMPANY (XNYS:DIS)</v>
    <v>8</v>
    <v>9</v>
    <v>Finance</v>
    <v>4</v>
    <v>en-US</v>
    <v>a1r2z2</v>
    <v>268435456</v>
    <v>1</v>
    <v>Powered by Refinitiv</v>
    <v>124.69</v>
    <v>80.099999999999994</v>
    <v>1.4258</v>
    <v>3.1349999999999998</v>
    <v>3.0081000000000004E-2</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231000</v>
    <v>New York Stock Exchange</v>
    <v>XNYS</v>
    <v>XNYS</v>
    <v>500 South Buena Vista Street, BURBANK, CA, 91521-0001 US</v>
    <v>108.6</v>
    <v>30</v>
    <v>Media &amp; Publishing</v>
    <v>Stock</v>
    <v>46057.736108263278</v>
    <v>31</v>
    <v>103.655</v>
    <v>190181529600</v>
    <v>THE WALT DISNEY COMPANY</v>
    <v>THE WALT DISNEY COMPANY</v>
    <v>104.2</v>
    <v>15.818899999999999</v>
    <v>104.22</v>
    <v>107.355</v>
    <v>1771520000</v>
    <v>DIS</v>
    <v>THE WALT DISNEY COMPANY (XNYS:DIS)</v>
    <v>9060365</v>
    <v>11482408</v>
    <v>2018</v>
  </rv>
  <rv s="2">
    <v>32</v>
  </rv>
  <rv s="0">
    <v>https://www.bing.com/financeapi/forcetrigger?t=a25obh&amp;q=XNYS%3aVZ&amp;form=skydnc</v>
    <v>Learn more on Bing</v>
  </rv>
  <rv s="1">
    <v>0</v>
    <v>VERIZON COMMUNICATIONS INC. (XNYS:VZ)</v>
    <v>2</v>
    <v>3</v>
    <v>Finance</v>
    <v>4</v>
    <v>en-US</v>
    <v>a25obh</v>
    <v>268435456</v>
    <v>1</v>
    <v>Powered by Refinitiv</v>
    <v>47.354999999999997</v>
    <v>38.39</v>
    <v>0.31119999999999998</v>
    <v>0.56499999999999995</v>
    <v>1.2215999999999999E-2</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99600</v>
    <v>New York Stock Exchange</v>
    <v>XNYS</v>
    <v>XNYS</v>
    <v>1095 Avenue Of The Americas, NEW YORK, NY, 10036 US</v>
    <v>47.16</v>
    <v>Telecommunications Services</v>
    <v>Stock</v>
    <v>46057.736110925784</v>
    <v>34</v>
    <v>46.173000000000002</v>
    <v>197418855000</v>
    <v>VERIZON COMMUNICATIONS INC.</v>
    <v>VERIZON COMMUNICATIONS INC.</v>
    <v>46.774999999999999</v>
    <v>11.5305</v>
    <v>46.25</v>
    <v>46.814999999999998</v>
    <v>4217000000</v>
    <v>VZ</v>
    <v>VERIZON COMMUNICATIONS INC. (XNYS:VZ)</v>
    <v>18691444</v>
    <v>34409665</v>
    <v>1983</v>
  </rv>
  <rv s="2">
    <v>35</v>
  </rv>
  <rv s="0">
    <v>https://www.bing.com/financeapi/forcetrigger?t=a1mthw&amp;q=XNYS%3aACN&amp;form=skydnc</v>
    <v>Learn more on Bing</v>
  </rv>
  <rv s="1">
    <v>0</v>
    <v>ACCENTURE PUBLIC LIMITED COMPANY (XNYS:ACN)</v>
    <v>2</v>
    <v>3</v>
    <v>Finance</v>
    <v>4</v>
    <v>en-US</v>
    <v>a1mthw</v>
    <v>268435456</v>
    <v>1</v>
    <v>Powered by Refinitiv</v>
    <v>398.35</v>
    <v>229.40010000000001</v>
    <v>1.2452000000000001</v>
    <v>1.95</v>
    <v>8.0840000000000009E-3</v>
    <v>USD</v>
    <v>Accenture plc is a global professional services company. It is engaged in providing a range of services and solutions across strategy and consulting, technology, operations, Industry X and Song. Its services include application services, artificial intelligence, automation, business process outsourcing, business strategy, change management, cloud, customer experience, data and analytics, ecosystem partners, finance consulting, Industry X, infrastructure, marketing, mergers and acquisitions, operating models, security, supply chain management, sustainability, technology consulting, technology innovation, and zero-based budgeting (ZBB). It specializes in the SAP business technology platform that designs digital products and experiences for enterprise customers, including custom portals and Web solutions and mobile applications. It provides clients with quantitative and qualitative risk management and compliance services. It specializes in advisory, management services and cybersecurity.</v>
    <v>779000</v>
    <v>New York Stock Exchange</v>
    <v>XNYS</v>
    <v>XNYS</v>
    <v>1 Grand Canal Square, Grand Canal Harbour, Dublin 2, DUBLIN, DUBLIN IE</v>
    <v>245.04499999999999</v>
    <v>Software &amp; IT Services</v>
    <v>Stock</v>
    <v>46057.736072661719</v>
    <v>37</v>
    <v>231.9</v>
    <v>149618001488</v>
    <v>ACCENTURE PUBLIC LIMITED COMPANY</v>
    <v>ACCENTURE PUBLIC LIMITED COMPANY</v>
    <v>237.84</v>
    <v>20.102799999999998</v>
    <v>241.21</v>
    <v>243.16</v>
    <v>615306800</v>
    <v>ACN</v>
    <v>ACCENTURE PUBLIC LIMITED COMPANY (XNYS:ACN)</v>
    <v>3801788</v>
    <v>4408971</v>
    <v>2009</v>
  </rv>
  <rv s="2">
    <v>38</v>
  </rv>
  <rv s="0">
    <v>https://www.bing.com/financeapi/forcetrigger?t=a1mou2&amp;q=XNAS%3aAAPL&amp;form=skydnc</v>
    <v>Learn more on Bing</v>
  </rv>
  <rv s="1">
    <v>0</v>
    <v>APPLE INC. (XNAS:AAPL)</v>
    <v>2</v>
    <v>3</v>
    <v>Finance</v>
    <v>4</v>
    <v>en-US</v>
    <v>a1mou2</v>
    <v>268435456</v>
    <v>1</v>
    <v>Powered by Refinitiv</v>
    <v>288.62</v>
    <v>169.21010000000001</v>
    <v>1.1028</v>
    <v>4.7683</v>
    <v>1.7694000000000001E-2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278.81</v>
    <v>Computers, Phones &amp; Household Electronics</v>
    <v>Stock</v>
    <v>46057.736103390627</v>
    <v>40</v>
    <v>272.28500000000003</v>
    <v>4032190480409</v>
    <v>APPLE INC.</v>
    <v>APPLE INC.</v>
    <v>272.33</v>
    <v>34.842399999999998</v>
    <v>269.48</v>
    <v>274.24829999999997</v>
    <v>14702700000</v>
    <v>AAPL</v>
    <v>APPLE INC. (XNAS:AAPL)</v>
    <v>39513809</v>
    <v>50058953</v>
    <v>1977</v>
  </rv>
  <rv s="2">
    <v>41</v>
  </rv>
  <rv s="0">
    <v>https://www.bing.com/financeapi/forcetrigger?t=a1x4f2&amp;q=XNAS%3aLRCX&amp;form=skydnc</v>
    <v>Learn more on Bing</v>
  </rv>
  <rv s="1">
    <v>0</v>
    <v>LAM RESEARCH CORPORATION (XNAS:LRCX)</v>
    <v>2</v>
    <v>3</v>
    <v>Finance</v>
    <v>4</v>
    <v>en-US</v>
    <v>a1x4f2</v>
    <v>268435456</v>
    <v>1</v>
    <v>Powered by Refinitiv</v>
    <v>251.87</v>
    <v>56.32</v>
    <v>1.7793000000000001</v>
    <v>-24.7</v>
    <v>-0.10734500000000001</v>
    <v>USD</v>
    <v>Lam Research Corporation is a global supplier of wafer fabrication equipment and services to the semiconductor industry. The Company designs, manufactures, markets, refurbishes, and services semiconductor processing equipment used in the fabrication of integrated circuits. Its products and services are designed to help its customers build devices that are used in a variety of electronic products, including mobile phones, personal computers, servers, wearables, automotive vehicles, and data storage devices. Its product families include ALTUS, SABRE, SPEED, Striker, VECTOR, Flex, Vantex, Kiyo, Versys Metal, Syndion, Coronus, and DV-Prime, Da Vinci, EOS, and SP Series. Its customer base includes semiconductor memory, foundries, and integrated device manufacturers that make products such as non-volatile memory, dynamic random-access memory, and logic devices. It offers services in areas, such as nanoscale applications enablement, chemistry, plasma and fluidics, and others.</v>
    <v>19000</v>
    <v>Nasdaq Stock Market</v>
    <v>XNAS</v>
    <v>XNAS</v>
    <v>4650 Cushing Blvd, FREMONT, CA, 94538 US</v>
    <v>231.11</v>
    <v>Semiconductors &amp; Semiconductor Equipment</v>
    <v>Stock</v>
    <v>46057.736095635941</v>
    <v>43</v>
    <v>205.4</v>
    <v>256497563400</v>
    <v>LAM RESEARCH CORPORATION</v>
    <v>LAM RESEARCH CORPORATION</v>
    <v>230.55</v>
    <v>42.096200000000003</v>
    <v>230.1</v>
    <v>205.4</v>
    <v>1248771000</v>
    <v>LRCX</v>
    <v>LAM RESEARCH CORPORATION (XNAS:LRCX)</v>
    <v>8272840</v>
    <v>13111808</v>
    <v>1989</v>
  </rv>
  <rv s="2">
    <v>44</v>
  </rv>
  <rv s="0">
    <v>https://www.bing.com/financeapi/forcetrigger?t=a1yrar&amp;q=XNAS%3aNTAP&amp;form=skydnc</v>
    <v>Learn more on Bing</v>
  </rv>
  <rv s="1">
    <v>0</v>
    <v>NETAPP, INC. (XNAS:NTAP)</v>
    <v>2</v>
    <v>3</v>
    <v>Finance</v>
    <v>4</v>
    <v>en-US</v>
    <v>a1yrar</v>
    <v>268435456</v>
    <v>1</v>
    <v>Powered by Refinitiv</v>
    <v>127.78</v>
    <v>71.837800000000001</v>
    <v>1.3875999999999999</v>
    <v>2.5049999999999999</v>
    <v>2.6232999999999999E-2</v>
    <v>USD</v>
    <v>NetApp, Inc. is an intelligent data infrastructure company combining unified data storage, integrated data, operational and workload services. It creates silo-free infrastructure, harnessing observability and AI to enable data management. Its operational and workload services provide continuous optimization of performance and efficiency for infrastructure and workloads through observability and AI. Its Hybrid Cloud segment provides a unified data storage portfolio of storage management and infrastructure solutions that helps customers modernize their data centers. Hybrid Cloud includes software, hardware, and related support, along with professional and other services. Its Public Cloud segment offers a portfolio of products delivered primarily as-a-service, including related support. This portfolio includes cloud storage, data services and operational services. These solutions and services are available in the public clouds, including Amazon AWS, Microsoft Azure, and Google Cloud.</v>
    <v>11700</v>
    <v>Nasdaq Stock Market</v>
    <v>XNAS</v>
    <v>XNAS</v>
    <v>3060 Olsen Drive, SAN JOSE, CA, 95128 US</v>
    <v>99.99</v>
    <v>Computers, Phones &amp; Household Electronics</v>
    <v>Stock</v>
    <v>46057.736073055472</v>
    <v>46</v>
    <v>95.01</v>
    <v>19408919098</v>
    <v>NETAPP, INC.</v>
    <v>NETAPP, INC.</v>
    <v>95.33</v>
    <v>0</v>
    <v>95.49</v>
    <v>97.995000000000005</v>
    <v>198060300</v>
    <v>NTAP</v>
    <v>NETAPP, INC. (XNAS:NTAP)</v>
    <v>1336424</v>
    <v>2407284</v>
    <v>2001</v>
  </rv>
  <rv s="2">
    <v>47</v>
  </rv>
  <rv s="0">
    <v>https://www.bing.com/financeapi/forcetrigger?t=a1yv52&amp;q=XNAS%3aNVDA&amp;form=skydnc</v>
    <v>Learn more on Bing</v>
  </rv>
  <rv s="1">
    <v>0</v>
    <v>NVIDIA CORPORATION (XNAS:NVDA)</v>
    <v>2</v>
    <v>3</v>
    <v>Finance</v>
    <v>4</v>
    <v>en-US</v>
    <v>a1yv52</v>
    <v>268435456</v>
    <v>1</v>
    <v>Powered by Refinitiv</v>
    <v>212.18989999999999</v>
    <v>86.62</v>
    <v>2.3243999999999998</v>
    <v>-7.9600999999999997</v>
    <v>-4.4138999999999998E-2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179.57</v>
    <v>Semiconductors &amp; Semiconductor Equipment</v>
    <v>Stock</v>
    <v>46057.736094316409</v>
    <v>49</v>
    <v>172.3228</v>
    <v>4188831570000</v>
    <v>NVIDIA CORPORATION</v>
    <v>NVIDIA CORPORATION</v>
    <v>179.46</v>
    <v>42.694699999999997</v>
    <v>180.34</v>
    <v>172.37989999999999</v>
    <v>24300000000</v>
    <v>NVDA</v>
    <v>NVIDIA CORPORATION (XNAS:NVDA)</v>
    <v>96461860</v>
    <v>159993441</v>
    <v>1998</v>
  </rv>
  <rv s="2">
    <v>50</v>
  </rv>
  <rv s="0">
    <v>https://www.bing.com/financeapi/forcetrigger?t=bptw77&amp;q=XNYS%3aUBER&amp;form=skydnc</v>
    <v>Learn more on Bing</v>
  </rv>
  <rv s="1">
    <v>0</v>
    <v>UBER TECHNOLOGIES, INC. (XNYS:UBER)</v>
    <v>2</v>
    <v>3</v>
    <v>Finance</v>
    <v>4</v>
    <v>en-US</v>
    <v>bptw77</v>
    <v>268435456</v>
    <v>1</v>
    <v>Powered by Refinitiv</v>
    <v>101.99</v>
    <v>60.63</v>
    <v>1.2095</v>
    <v>-2.73</v>
    <v>-3.5031E-2</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31100</v>
    <v>New York Stock Exchange</v>
    <v>XNYS</v>
    <v>XNYS</v>
    <v>1725 3Rd Street, SAN FRANCISCO, CA, 94158 US</v>
    <v>77.713300000000004</v>
    <v>Software &amp; IT Services</v>
    <v>Stock</v>
    <v>46057.736106573437</v>
    <v>52</v>
    <v>71.880099999999999</v>
    <v>156252816000</v>
    <v>UBER TECHNOLOGIES, INC.</v>
    <v>UBER TECHNOLOGIES, INC.</v>
    <v>75.72</v>
    <v>9.6339000000000006</v>
    <v>77.930000000000007</v>
    <v>75.2</v>
    <v>2077830000</v>
    <v>UBER</v>
    <v>UBER TECHNOLOGIES, INC. (XNYS:UBER)</v>
    <v>40167205</v>
    <v>18548520</v>
    <v>2010</v>
  </rv>
  <rv s="2">
    <v>53</v>
  </rv>
  <rv s="0">
    <v>https://www.bing.com/financeapi/forcetrigger?t=azbtyc&amp;q=XNAS%3aZS&amp;form=skydnc</v>
    <v>Learn more on Bing</v>
  </rv>
  <rv s="1">
    <v>0</v>
    <v>ZSCALER, INC. (XNAS:ZS)</v>
    <v>2</v>
    <v>3</v>
    <v>Finance</v>
    <v>4</v>
    <v>en-US</v>
    <v>azbtyc</v>
    <v>268435456</v>
    <v>1</v>
    <v>Powered by Refinitiv</v>
    <v>336.99</v>
    <v>164.78</v>
    <v>1.0278</v>
    <v>-3.41</v>
    <v>-1.8133E-2</v>
    <v>USD</v>
    <v>Zscaler, Inc. is a cloud security company. The Company has developed a platform incorporating core security functionalities needed to enable fast and secure access to cloud resources based on identity, context and an organization’s policies. Its Zscaler Zero Trust Exchange platform protects thousands of customers from cyberattacks and data loss by securely connecting users, devices, and applications in any location. Its solution is a purpose-built, multi-tenant, distributed cloud platform that incorporates the security functionality needed to enable users, applications, and devices to safely and efficiently utilize authorized applications and services based on an organization’s business policies. It delivers its solutions using a software-as-a-service (SaaS) business model and sells subscriptions to customers to access its cloud platform, together with related support services. It offers a security platform that combines its platform with automated security operations.</v>
    <v>7923</v>
    <v>Nasdaq Stock Market</v>
    <v>XNAS</v>
    <v>XNAS</v>
    <v>120 Holger Way, SAN JOSE, CA, 95134 US</v>
    <v>188.23</v>
    <v>Software &amp; IT Services</v>
    <v>Stock</v>
    <v>46057.736094895314</v>
    <v>55</v>
    <v>177.66</v>
    <v>29444762367</v>
    <v>ZSCALER, INC.</v>
    <v>ZSCALER, INC.</v>
    <v>185.21</v>
    <v>0</v>
    <v>188.05</v>
    <v>184.64</v>
    <v>159471200</v>
    <v>ZS</v>
    <v>ZSCALER, INC. (XNAS:ZS)</v>
    <v>1300442</v>
    <v>1734932</v>
    <v>2007</v>
  </rv>
  <rv s="2">
    <v>56</v>
  </rv>
  <rv s="0">
    <v>https://www.bing.com/financeapi/forcetrigger?t=a1mpc7&amp;q=XNAS%3aAXON&amp;form=skydnc</v>
    <v>Learn more on Bing</v>
  </rv>
  <rv s="1">
    <v>0</v>
    <v>AXON ENTERPRISE, INC. (XNAS:AXON)</v>
    <v>2</v>
    <v>3</v>
    <v>Finance</v>
    <v>4</v>
    <v>en-US</v>
    <v>a1mpc7</v>
    <v>268435456</v>
    <v>1</v>
    <v>Powered by Refinitiv</v>
    <v>885.91499999999996</v>
    <v>420.69</v>
    <v>1.4921</v>
    <v>-29.28</v>
    <v>-6.4881000000000008E-2</v>
    <v>USD</v>
    <v>Axon Enterprise, Inc. is a technology company in global public safety. It is building the public safety operating system by integrating a suite of hardware devices and cloud software solutions that lead modern policing. Its segments include Connected Devices and Software &amp; Services. Connected Devices segment includes the development, manufacture and sale of fully integrated hardware solutions such as conducted energy devices (CEDs), body cameras, drones, accessories, extended warranties and other hardware products. Software &amp; Services segment includes the development and sale of fully integrated cloud-based software solutions such as Axon Evidence, Records Management System, Draft One and other software and services that enable law enforcement to securely store, manage, share and analyze video and manage operations. Its global customer base includes first responders across international, federal, state and local law enforcement, fire, corrections and emergency medical services.</v>
    <v>4100</v>
    <v>Nasdaq Stock Market</v>
    <v>XNAS</v>
    <v>XNAS</v>
    <v>17800 N 85th St, SCOTTSDALE, AZ, 85255-6311 US</v>
    <v>453.99</v>
    <v>Aerospace &amp; Defense</v>
    <v>Stock</v>
    <v>46057.736093471874</v>
    <v>58</v>
    <v>420.69</v>
    <v>33301007444</v>
    <v>AXON ENTERPRISE, INC.</v>
    <v>AXON ENTERPRISE, INC.</v>
    <v>445.83</v>
    <v>133.84819999999999</v>
    <v>451.29</v>
    <v>422.01</v>
    <v>78910470</v>
    <v>AXON</v>
    <v>AXON ENTERPRISE, INC. (XNAS:AXON)</v>
    <v>793509</v>
    <v>782380</v>
    <v>2001</v>
  </rv>
  <rv s="2">
    <v>59</v>
  </rv>
  <rv s="0">
    <v>https://www.bing.com/financeapi/forcetrigger?t=a1p7zr&amp;q=XNYS%3aCAT&amp;form=skydnc</v>
    <v>Learn more on Bing</v>
  </rv>
  <rv s="1">
    <v>0</v>
    <v>CATERPILLAR INC. (XNYS:CAT)</v>
    <v>2</v>
    <v>3</v>
    <v>Finance</v>
    <v>4</v>
    <v>en-US</v>
    <v>a1p7zr</v>
    <v>268435456</v>
    <v>1</v>
    <v>Powered by Refinitiv</v>
    <v>723.11500000000001</v>
    <v>267.3</v>
    <v>1.5466</v>
    <v>-14.664999999999999</v>
    <v>-2.0863999999999997E-2</v>
    <v>USD</v>
    <v>Caterpillar Inc. is a manufacturer of construction and mining equipment, off-highway diesel and natural gas engines, industrial gas turbines and diesel-electric locomotives. The Company operates through its various segments, namely Construction Industries, Resource Industries, and Energy &amp; Transportation. It also provides financing and related services through its Financial Products segment. The Construction Industries segment is primarily responsible for supporting customers using machinery in infrastructure and building construction applications. The Resource Industries segment develops and manufactures high productivity equipment for both surface and underground mining operations, as well as provide hydraulic systems, electronics and software for its machines and engines. The Energy &amp; Transportation segment offers product and services that includes reciprocating engines, generator sets, integrated systems and solutions, turbines and turbine-related services.</v>
    <v>112900</v>
    <v>New York Stock Exchange</v>
    <v>XNYS</v>
    <v>XNYS</v>
    <v>5205 N. O'connor Boulevard, Suite 100, IRVING, TX, 75039 US</v>
    <v>723.11500000000001</v>
    <v>Machinery, Equipment &amp; Components</v>
    <v>Stock</v>
    <v>46057.736077592184</v>
    <v>61</v>
    <v>686.75480000000005</v>
    <v>322075260210</v>
    <v>CATERPILLAR INC.</v>
    <v>CATERPILLAR INC.</v>
    <v>708.7</v>
    <v>36.556199999999997</v>
    <v>702.89</v>
    <v>688.22500000000002</v>
    <v>467979600</v>
    <v>CAT</v>
    <v>CATERPILLAR INC. (XNYS:CAT)</v>
    <v>2290324</v>
    <v>2536041</v>
    <v>1986</v>
  </rv>
  <rv s="2">
    <v>62</v>
  </rv>
  <rv s="0">
    <v>https://www.bing.com/financeapi/forcetrigger?t=a1sqr7&amp;q=XNYS%3aFDX&amp;form=skydnc</v>
    <v>Learn more on Bing</v>
  </rv>
  <rv s="1">
    <v>0</v>
    <v>FEDEX CORPORATION (XNYS:FDX)</v>
    <v>2</v>
    <v>3</v>
    <v>Finance</v>
    <v>4</v>
    <v>en-US</v>
    <v>a1sqr7</v>
    <v>268435456</v>
    <v>1</v>
    <v>Powered by Refinitiv</v>
    <v>364.6506</v>
    <v>194.29499999999999</v>
    <v>1.3238000000000001</v>
    <v>9.6</v>
    <v>2.7162000000000002E-2</v>
    <v>USD</v>
    <v>FedEx Corporation provides customers and businesses with a portfolio of transportation, e-commerce, and business services. The Company offers integrated business solutions utilizing its flexible and efficient global network. Its segments include Federal Express, FedEx Freight, and Corporate, other, and eliminations. Federal Express segment includes express transportation, small-package ground delivery, and freight transportation, and it also operates combined sales, marketing, administrative, and information-technology functions in shared service operations for United States customers. FedEx Freight segment includes FedEx Freight (LTL freight transportation) and FedEx Custom Critical (time-critical transportation). Corporate, other, and elimination segments include FedEx Dataworks, Inc. (FedEx Dataworks), FedEx Office and Print Services, Inc. (FedEx Office), and FedEx Logistics, Inc. (FedEx Logistics). FedEx Logistics offers customs brokerage, specialty transportation, and others.</v>
    <v>237000</v>
    <v>New York Stock Exchange</v>
    <v>XNYS</v>
    <v>XNYS</v>
    <v>942 South Shady Grove Road, MEMPHIS, TN, 38120 US</v>
    <v>364.6506</v>
    <v>Freight &amp; Logistics Services</v>
    <v>Stock</v>
    <v>46057.736086654688</v>
    <v>64</v>
    <v>355.56</v>
    <v>85356630084</v>
    <v>FEDEX CORPORATION</v>
    <v>FEDEX CORPORATION</v>
    <v>356.66</v>
    <v>20.040299999999998</v>
    <v>353.43</v>
    <v>363.03</v>
    <v>235122800</v>
    <v>FDX</v>
    <v>FEDEX CORPORATION (XNYS:FDX)</v>
    <v>961104</v>
    <v>1918087</v>
    <v>1997</v>
  </rv>
  <rv s="2">
    <v>65</v>
  </rv>
  <rv s="0">
    <v>https://www.bing.com/financeapi/forcetrigger?t=a1tr1h&amp;q=XNYS%3aGE&amp;form=skydnc</v>
    <v>Learn more on Bing</v>
  </rv>
  <rv s="1">
    <v>0</v>
    <v>GENERAL ELECTRIC COMPANY (XNYS:GE)</v>
    <v>2</v>
    <v>3</v>
    <v>Finance</v>
    <v>4</v>
    <v>en-US</v>
    <v>a1tr1h</v>
    <v>268435456</v>
    <v>1</v>
    <v>Powered by Refinitiv</v>
    <v>332.79</v>
    <v>159.36000000000001</v>
    <v>1.3962000000000001</v>
    <v>-7.61</v>
    <v>-2.4553999999999999E-2</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57000</v>
    <v>New York Stock Exchange</v>
    <v>XNYS</v>
    <v>XNYS</v>
    <v>1 Neumann Way, Evendale, OH, 45215 US</v>
    <v>311.77999999999997</v>
    <v>Aerospace &amp; Defense</v>
    <v>Stock</v>
    <v>46057.736095034372</v>
    <v>67</v>
    <v>302</v>
    <v>317077448480</v>
    <v>GENERAL ELECTRIC COMPANY</v>
    <v>GENERAL ELECTRIC COMPANY</v>
    <v>310.42</v>
    <v>37.5259</v>
    <v>309.93</v>
    <v>302.32</v>
    <v>1048814000</v>
    <v>GE</v>
    <v>GENERAL ELECTRIC COMPANY (XNYS:GE)</v>
    <v>3236391</v>
    <v>5812303</v>
    <v>1892</v>
  </rv>
  <rv s="2">
    <v>68</v>
  </rv>
  <rv s="0">
    <v>https://www.bing.com/financeapi/forcetrigger?t=a24ynm&amp;q=XNYS%3aUPS&amp;form=skydnc</v>
    <v>Learn more on Bing</v>
  </rv>
  <rv s="1">
    <v>0</v>
    <v>UNITED PARCEL SERVICE, INC. (XNYS:UPS)</v>
    <v>2</v>
    <v>3</v>
    <v>Finance</v>
    <v>4</v>
    <v>en-US</v>
    <v>a24ynm</v>
    <v>268435456</v>
    <v>1</v>
    <v>Powered by Refinitiv</v>
    <v>123.7</v>
    <v>82</v>
    <v>1.0786</v>
    <v>3.37</v>
    <v>3.0130000000000001E-2</v>
    <v>USD</v>
    <v>United Parcel Service, Inc. provides a range of integrated logistics solutions for customers in more than 200 countries and territories. Its U.S. Domestic Package segment offers a range of United States domestic air and ground package transportation services. Its air portfolio offers time-definite, same-day, next-day, two-day and three-day delivery alternatives as well as air cargo services. Its ground network enables customers to ship using its day-definite ground service. UPS SurePost provides residential ground service for customers with non-urgent, lightweight residential shipments. Its International Package segment consists of small package operations in Europe, Indian sub-continent, Middle East and Africa, Canada and Latin America and Asia. It offers a selection of guaranteed day- and time-definite international shipping services. Its supply chain solutions consist of forwarding, logistics, customized third-party logistics and specialized cold chain transportation solutions.</v>
    <v>490000</v>
    <v>New York Stock Exchange</v>
    <v>XNYS</v>
    <v>XNYS</v>
    <v>55 Glenlake Parkway Ne, ATLANTA, GA, 30328 US</v>
    <v>116.2799</v>
    <v>Freight &amp; Logistics Services</v>
    <v>Stock</v>
    <v>46057.736119421097</v>
    <v>70</v>
    <v>112.935</v>
    <v>97750988832</v>
    <v>UNITED PARCEL SERVICE, INC.</v>
    <v>UNITED PARCEL SERVICE, INC.</v>
    <v>113</v>
    <v>17.562999999999999</v>
    <v>111.85</v>
    <v>115.22</v>
    <v>848385600</v>
    <v>UPS</v>
    <v>UNITED PARCEL SERVICE, INC. (XNYS:UPS)</v>
    <v>4843250</v>
    <v>6089059</v>
    <v>1999</v>
  </rv>
  <rv s="2">
    <v>71</v>
  </rv>
  <rv s="0">
    <v>https://www.bing.com/financeapi/forcetrigger?t=a1xroc&amp;q=XNYS%3aMMM&amp;form=skydnc</v>
    <v>Learn more on Bing</v>
  </rv>
  <rv s="1">
    <v>0</v>
    <v>3M COMPANY (XNYS:MMM)</v>
    <v>2</v>
    <v>3</v>
    <v>Finance</v>
    <v>4</v>
    <v>en-US</v>
    <v>a1xroc</v>
    <v>268435456</v>
    <v>1</v>
    <v>Powered by Refinitiv</v>
    <v>174.69</v>
    <v>121.97709999999999</v>
    <v>1.0782</v>
    <v>6.0650000000000004</v>
    <v>3.8958E-2</v>
    <v>USD</v>
    <v>3M Company is a diversified technology company. The Company is a manufacturer and marketer of a variety of products and services. The Company’s segments include Safety and Industrial; Transportation and Electronics, and Consumer. Its Safety and Industrial segment includes industrial abrasives and finishing for metalworking applications; autobody repair solutions; industrial specialty products, such as personal hygiene products, masking, and packaging materials, and others. Its Transportation and Electronics segment includes advanced ceramic solutions; attachment/bonding, films, sound and temperature management for transportation vehicles; premium large format graphic films for advertising and fleet signage. Its Consumer segment includes cleaning products for the home; consumer air quality products, and picture hanging accessories. Its brands include 3M Cubitron II abrasives, Scotch-Brite, Filtrete, Command, Scotchgard, Meguiar’s, Nexcare, Post-it and others.</v>
    <v>61500</v>
    <v>New York Stock Exchange</v>
    <v>XNYS</v>
    <v>XNYS</v>
    <v>3M Center, Bldg. 220-9E-02, SAINT PAUL, MN, 55144-1000 US</v>
    <v>163.18279999999999</v>
    <v>Consumer Goods Conglomerates</v>
    <v>Stock</v>
    <v>46057.73607513828</v>
    <v>73</v>
    <v>155.81</v>
    <v>85769993029</v>
    <v>3M COMPANY</v>
    <v>3M COMPANY</v>
    <v>156.29</v>
    <v>26.978200000000001</v>
    <v>155.68</v>
    <v>161.745</v>
    <v>530279100</v>
    <v>MMM</v>
    <v>3M COMPANY (XNYS:MMM)</v>
    <v>2271678</v>
    <v>4024467</v>
    <v>1929</v>
  </rv>
  <rv s="2">
    <v>74</v>
  </rv>
  <rv s="0">
    <v>https://www.bing.com/financeapi/forcetrigger?t=a25yfr&amp;q=XNYS%3aWNC&amp;form=skydnc</v>
    <v>Learn more on Bing</v>
  </rv>
  <rv s="1">
    <v>0</v>
    <v>WABASH NATIONAL CORPORATION (XNYS:WNC)</v>
    <v>2</v>
    <v>3</v>
    <v>Finance</v>
    <v>4</v>
    <v>en-US</v>
    <v>a25yfr</v>
    <v>268435456</v>
    <v>1</v>
    <v>Powered by Refinitiv</v>
    <v>15.55</v>
    <v>6.78</v>
    <v>1.6471</v>
    <v>-0.36499999999999999</v>
    <v>-3.2473000000000002E-2</v>
    <v>USD</v>
    <v>Wabash National Corporation provides connected solutions for the transportation, logistics and distribution industries. The Company designs, manufactures, and services a range of products, including dry freight and refrigerated trailers, flatbed trailers, tank trailers, dry and refrigerated truck bodies, structural composite panels and products, trailer aerodynamic solutions, and specialty food grade processing equipment. The Company’s Transportation Solutions (TS) segment comprises the design and manufacturing operations for the Company’s transportation-related equipment and products. This includes dry and refrigerated van trailers, platform trailers, tank trailers and truck-mounted tanks, truck-mounted dry and refrigerated truck bodies and EcoNex technology products. Its Parts &amp; Services (P&amp;S) segment is comprised of the Company’s parts and services businesses as well as the upfitting component of truck bodies business. This segment also includes DuraPlate composite panels business.</v>
    <v>6000</v>
    <v>New York Stock Exchange</v>
    <v>XNYS</v>
    <v>XNYS</v>
    <v>3900 Mccarty Lane, LAFAYETTE, IN, 47905 US</v>
    <v>11.68</v>
    <v>Machinery, Equipment &amp; Components</v>
    <v>Stock</v>
    <v>46057.736047696097</v>
    <v>76</v>
    <v>9.39</v>
    <v>440618460</v>
    <v>WABASH NATIONAL CORPORATION</v>
    <v>WABASH NATIONAL CORPORATION</v>
    <v>9.9499999999999993</v>
    <v>1.7894000000000001</v>
    <v>11.24</v>
    <v>10.875</v>
    <v>40516640</v>
    <v>WNC</v>
    <v>WABASH NATIONAL CORPORATION (XNYS:WNC)</v>
    <v>728472</v>
    <v>587588</v>
    <v>1991</v>
  </rv>
  <rv s="2">
    <v>77</v>
  </rv>
</rvData>
</file>

<file path=xl/richData/rdrichvaluestructure.xml><?xml version="1.0" encoding="utf-8"?>
<rvStructures xmlns="http://schemas.microsoft.com/office/spreadsheetml/2017/richdata" count="6">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1">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3">
      <v>1</v>
      <v>2</v>
      <v>2</v>
      <v>1</v>
      <v>3</v>
      <v>1</v>
      <v>1</v>
      <v>1</v>
      <v>4</v>
      <v>4</v>
      <v>5</v>
      <v>10</v>
      <v>1</v>
      <v>1</v>
      <v>1</v>
      <v>4</v>
      <v>7</v>
      <v>8</v>
      <v>9</v>
      <v>4</v>
    </spb>
    <spb s="0">
      <v>1</v>
      <v>Name</v>
      <v>LearnMoreOnLink</v>
    </spb>
    <spb s="5">
      <v>0</v>
      <v>0</v>
    </spb>
    <spb s="6">
      <v>7</v>
      <v>1</v>
      <v>1</v>
      <v>1</v>
      <v>1</v>
    </spb>
    <spb s="7">
      <v>1</v>
      <v>2</v>
      <v>2</v>
      <v>1</v>
      <v>3</v>
      <v>1</v>
      <v>11</v>
      <v>1</v>
      <v>1</v>
      <v>4</v>
      <v>4</v>
      <v>5</v>
      <v>6</v>
      <v>1</v>
      <v>1</v>
      <v>1</v>
      <v>4</v>
      <v>7</v>
      <v>8</v>
      <v>9</v>
      <v>4</v>
    </spb>
    <spb s="8">
      <v>Powered by Refinitiv</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_([$£-en-GB]* #,##0_);_([$£-en-GB]* (#,##0);_([$£-en-GB]* "-"_);_(@_)</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19B7B-DE00-204B-9ECE-9BD1012E6DA6}">
  <dimension ref="A1:AE14"/>
  <sheetViews>
    <sheetView topLeftCell="A2" zoomScale="88" workbookViewId="0">
      <selection activeCell="T11" sqref="T11"/>
    </sheetView>
  </sheetViews>
  <sheetFormatPr baseColWidth="10" defaultRowHeight="17" thickBottom="1" x14ac:dyDescent="0.25"/>
  <cols>
    <col min="1" max="1" width="47.6640625" style="1" bestFit="1" customWidth="1"/>
    <col min="2" max="2" width="10.83203125" style="1"/>
    <col min="3" max="3" width="10.83203125" style="2"/>
    <col min="4" max="4" width="11.6640625" style="3" bestFit="1" customWidth="1"/>
    <col min="5" max="5" width="21.5" style="1" bestFit="1" customWidth="1"/>
    <col min="6" max="6" width="23" style="1" bestFit="1" customWidth="1"/>
    <col min="7" max="7" width="10.83203125" style="1"/>
    <col min="8" max="8" width="16" style="3" bestFit="1" customWidth="1"/>
    <col min="9" max="9" width="10.83203125" style="1"/>
    <col min="10" max="10" width="14" style="2" bestFit="1" customWidth="1"/>
    <col min="11" max="11" width="20.1640625" style="2" bestFit="1" customWidth="1"/>
    <col min="12" max="17" width="10.83203125" style="1"/>
    <col min="18" max="18" width="17" style="3" bestFit="1" customWidth="1"/>
    <col min="19" max="19" width="20.6640625" style="1" bestFit="1" customWidth="1"/>
    <col min="20" max="20" width="17.1640625" style="1" bestFit="1" customWidth="1"/>
    <col min="21" max="21" width="21.83203125" style="1" bestFit="1" customWidth="1"/>
    <col min="22" max="22" width="10.83203125" style="1"/>
    <col min="23" max="23" width="10.5" style="2" bestFit="1" customWidth="1"/>
    <col min="24" max="24" width="10.83203125" style="2" bestFit="1" customWidth="1"/>
    <col min="25" max="25" width="12.5" style="2" bestFit="1" customWidth="1"/>
    <col min="26" max="26" width="12.6640625" style="1" bestFit="1" customWidth="1"/>
    <col min="27" max="27" width="10.83203125" style="2"/>
    <col min="28" max="30" width="10.83203125" style="1"/>
    <col min="31" max="31" width="13" style="2" bestFit="1" customWidth="1"/>
    <col min="32" max="32" width="13" style="1" bestFit="1" customWidth="1"/>
    <col min="33" max="16384" width="10.83203125" style="1"/>
  </cols>
  <sheetData>
    <row r="1" spans="1:31" thickBot="1" x14ac:dyDescent="0.25">
      <c r="E1" s="1" t="s">
        <v>24</v>
      </c>
      <c r="F1" s="1" t="s">
        <v>27</v>
      </c>
    </row>
    <row r="2" spans="1:31" thickBot="1" x14ac:dyDescent="0.25">
      <c r="X2" s="2" t="s">
        <v>14</v>
      </c>
      <c r="AB2" s="1" t="s">
        <v>20</v>
      </c>
      <c r="AE2" s="2" t="s">
        <v>29</v>
      </c>
    </row>
    <row r="3" spans="1:31" thickBot="1" x14ac:dyDescent="0.25">
      <c r="A3" s="1" t="s">
        <v>0</v>
      </c>
      <c r="B3" s="1" t="s">
        <v>1</v>
      </c>
      <c r="C3" s="2" t="s">
        <v>2</v>
      </c>
      <c r="D3" s="3" t="s">
        <v>3</v>
      </c>
      <c r="E3" s="1" t="s">
        <v>11</v>
      </c>
      <c r="F3" s="1" t="s">
        <v>4</v>
      </c>
      <c r="G3" s="1" t="s">
        <v>5</v>
      </c>
      <c r="H3" s="3" t="s">
        <v>12</v>
      </c>
      <c r="I3" s="1" t="s">
        <v>6</v>
      </c>
      <c r="J3" s="2" t="s">
        <v>16</v>
      </c>
      <c r="K3" s="2" t="s">
        <v>21</v>
      </c>
      <c r="L3" s="1" t="s">
        <v>22</v>
      </c>
      <c r="M3" s="1" t="s">
        <v>7</v>
      </c>
      <c r="N3" s="1" t="s">
        <v>31</v>
      </c>
      <c r="O3" s="1" t="s">
        <v>17</v>
      </c>
      <c r="P3" s="1" t="s">
        <v>18</v>
      </c>
      <c r="Q3" s="1" t="s">
        <v>19</v>
      </c>
      <c r="R3" s="3" t="s">
        <v>23</v>
      </c>
      <c r="S3" s="1" t="s">
        <v>25</v>
      </c>
      <c r="T3" s="1" t="s">
        <v>30</v>
      </c>
      <c r="U3" s="1" t="s">
        <v>32</v>
      </c>
      <c r="W3" s="2" t="s">
        <v>9</v>
      </c>
      <c r="X3" s="2" t="s">
        <v>10</v>
      </c>
      <c r="Y3" s="2" t="s">
        <v>15</v>
      </c>
      <c r="AA3" s="2" t="s">
        <v>9</v>
      </c>
      <c r="AB3" s="2" t="s">
        <v>10</v>
      </c>
      <c r="AC3" s="2" t="s">
        <v>15</v>
      </c>
    </row>
    <row r="4" spans="1:31" thickBot="1" x14ac:dyDescent="0.25">
      <c r="A4" s="1" t="e" vm="1">
        <v>#VALUE!</v>
      </c>
      <c r="B4" s="4" cm="1">
        <f t="array" aca="1" ref="B4" ca="1">_FV(A4,"Price")</f>
        <v>331.065</v>
      </c>
      <c r="C4" s="2">
        <f>0.26*4</f>
        <v>1.04</v>
      </c>
      <c r="D4" s="3">
        <f ca="1">(C4/B4)*100%</f>
        <v>3.1413770709679371E-3</v>
      </c>
      <c r="F4" s="1">
        <v>10.1</v>
      </c>
      <c r="G4" s="1" cm="1">
        <f t="array" aca="1" ref="G4" ca="1">ROUND(_FV(A4,"P/E",TRUE),1)</f>
        <v>32.700000000000003</v>
      </c>
      <c r="H4" s="3">
        <v>0.17449999999999999</v>
      </c>
      <c r="I4" s="1">
        <f ca="1">ROUND(G4/((H4*100)+(D4*100)),2)</f>
        <v>1.84</v>
      </c>
      <c r="J4" s="2">
        <f>AVERAGE(W4:Y4)</f>
        <v>335.07499999999999</v>
      </c>
      <c r="K4" s="2">
        <f>AVERAGE(AA4:AC4)</f>
        <v>637.60851861981314</v>
      </c>
      <c r="L4" s="1">
        <f ca="1">ROUND(B4/K4,2)</f>
        <v>0.52</v>
      </c>
      <c r="M4" s="1">
        <f ca="1">ROUND(B4/AE4,2)</f>
        <v>1.03</v>
      </c>
      <c r="N4" s="1">
        <f ca="1">IF(M4&lt;0.8,1,IF(M4&lt;0.9,2,IF(M4&lt;1.05,3,IF(M4&lt;1.5,4,5))))</f>
        <v>3</v>
      </c>
      <c r="O4" s="1">
        <f ca="1">IF(I4&lt;0.75,1,IF(I4&lt;1,2,IF(I4&lt;1.5,3,IF(I4&lt;2,4,5))))</f>
        <v>4</v>
      </c>
      <c r="P4" s="1">
        <f ca="1">IF(L4&lt;0.5, 1, IF(L4&lt;0.6, 2, IF(L4&lt;0.71, 3, IF(L4&lt;0.85, 4, 5))))</f>
        <v>2</v>
      </c>
      <c r="Q4" s="1">
        <f ca="1">IF(G4&lt;12, 1, IF(G4&lt;18, 2, IF(G4&lt;25, 3, IF(G4&lt;35, 4, 5))))</f>
        <v>4</v>
      </c>
      <c r="R4" s="3">
        <f ca="1">(K4-B4)/B4</f>
        <v>0.92593151985203248</v>
      </c>
      <c r="S4" s="1">
        <f ca="1">IF(R4&gt;100%, 1, IF(R4&gt;90%, 2, IF(R4&gt;70%, 3, IF(R4&gt;50%, 4, 5))))</f>
        <v>2</v>
      </c>
      <c r="T4" s="1">
        <f ca="1">ROUND(O4*0.4+S4*0.55+Q4*0.05,0)</f>
        <v>3</v>
      </c>
      <c r="W4" s="2" t="s">
        <v>13</v>
      </c>
      <c r="X4" s="2">
        <v>340</v>
      </c>
      <c r="Y4" s="2">
        <v>330.15</v>
      </c>
      <c r="AA4" s="2" t="s">
        <v>13</v>
      </c>
      <c r="AB4" s="2">
        <f>X4*(1+H4)^4</f>
        <v>646.98021735652151</v>
      </c>
      <c r="AC4" s="2">
        <f>Y4*(1+H4)^4</f>
        <v>628.23681988310466</v>
      </c>
      <c r="AE4" s="2">
        <v>320.39999999999998</v>
      </c>
    </row>
    <row r="5" spans="1:31" thickBot="1" x14ac:dyDescent="0.25">
      <c r="A5" s="1" t="e" vm="2">
        <v>#VALUE!</v>
      </c>
      <c r="B5" s="4" cm="1">
        <f t="array" aca="1" ref="B5" ca="1">_FV(A5,"Price")</f>
        <v>991.04</v>
      </c>
    </row>
    <row r="6" spans="1:31" thickBot="1" x14ac:dyDescent="0.25">
      <c r="A6" s="1" t="e" vm="3">
        <v>#VALUE!</v>
      </c>
      <c r="B6" s="4" cm="1">
        <f t="array" aca="1" ref="B6" ca="1">_FV(A6,"Price")</f>
        <v>19.155000000000001</v>
      </c>
      <c r="C6" s="2">
        <v>0</v>
      </c>
      <c r="D6" s="3">
        <f ca="1">(C6/B6)*100%</f>
        <v>0</v>
      </c>
      <c r="F6" s="1">
        <v>0.21</v>
      </c>
      <c r="G6" s="1">
        <v>96.38</v>
      </c>
      <c r="H6" s="3">
        <v>1.1757</v>
      </c>
      <c r="I6" s="1">
        <f ca="1">ROUND(G6/((H6*100)+(D6*100)),2)</f>
        <v>0.82</v>
      </c>
      <c r="J6" s="2">
        <f t="shared" ref="J6:J14" si="0">AVERAGE(W6:Y6)</f>
        <v>31.786666666666665</v>
      </c>
      <c r="K6" s="2">
        <f t="shared" ref="K6:K14" si="1">AVERAGE(AA6:AC6)</f>
        <v>712.26406610701406</v>
      </c>
      <c r="L6" s="1">
        <f t="shared" ref="L6:L14" ca="1" si="2">ROUND(B6/K6,2)</f>
        <v>0.03</v>
      </c>
      <c r="M6" s="1" t="e">
        <f t="shared" ref="M6:M14" ca="1" si="3">ROUND(B6/AE6,2)</f>
        <v>#DIV/0!</v>
      </c>
      <c r="N6" s="1" t="e">
        <f t="shared" ref="N6:N14" ca="1" si="4">IF(M6&lt;0.8,1,IF(M6&lt;0.9,2,IF(M6&lt;1.05,3,IF(M6&lt;1.5,4,5))))</f>
        <v>#DIV/0!</v>
      </c>
      <c r="O6" s="1">
        <f ca="1">IF(I6&lt;0.75,1,IF(I6&lt;1,2,IF(I6&lt;1.5,3,IF(I6&lt;2,4,5))))</f>
        <v>2</v>
      </c>
      <c r="P6" s="1">
        <f t="shared" ref="P6:P14" ca="1" si="5">IF(L6&lt;0.5, 1, IF(L6&lt;0.6, 2, IF(L6&lt;0.71, 3, IF(L6&lt;0.85, 4, 5))))</f>
        <v>1</v>
      </c>
      <c r="Q6" s="1">
        <f>IF(G6&lt;12, 1, IF(G6&lt;18, 2, IF(G6&lt;25, 3, IF(G6&lt;35, 4, 5))))</f>
        <v>5</v>
      </c>
      <c r="R6" s="3">
        <f t="shared" ref="R6:R14" ca="1" si="6">(K6-B6)/B6</f>
        <v>36.184237332655393</v>
      </c>
      <c r="S6" s="1">
        <f t="shared" ref="S6:S14" ca="1" si="7">IF(R6&gt;100%, 1, IF(R6&gt;90%, 2, IF(R6&gt;70%, 3, IF(R6&gt;50%, 4, 5))))</f>
        <v>1</v>
      </c>
      <c r="T6" s="1">
        <f t="shared" ref="T6:T14" ca="1" si="8">ROUND(O6*0.4+S6*0.55+Q6*0.05,0)</f>
        <v>2</v>
      </c>
      <c r="W6" s="2">
        <v>33.409999999999997</v>
      </c>
      <c r="X6" s="2">
        <v>28.6</v>
      </c>
      <c r="Y6" s="2">
        <v>33.35</v>
      </c>
      <c r="AA6" s="2">
        <f t="shared" ref="AA6:AA14" si="9">W6*(1+H6)^4</f>
        <v>748.6391290468332</v>
      </c>
      <c r="AB6" s="2">
        <f t="shared" ref="AB6:AB14" si="10">X6*(1+H6)^4</f>
        <v>640.85839840584958</v>
      </c>
      <c r="AC6" s="2">
        <f t="shared" ref="AC6:AC14" si="11">Y6*(1+H6)^4</f>
        <v>747.2946708683595</v>
      </c>
    </row>
    <row r="7" spans="1:31" thickBot="1" x14ac:dyDescent="0.25">
      <c r="A7" s="1" t="e" vm="4">
        <v>#VALUE!</v>
      </c>
      <c r="B7" s="4" cm="1">
        <f t="array" aca="1" ref="B7" ca="1">_FV(A7,"Price")</f>
        <v>196.99</v>
      </c>
      <c r="C7" s="2">
        <v>0.76</v>
      </c>
      <c r="D7" s="3">
        <f ca="1">(C7/B7)*100%</f>
        <v>3.858063861109701E-3</v>
      </c>
      <c r="F7" s="1">
        <v>3.42</v>
      </c>
      <c r="G7" s="1">
        <v>59.2</v>
      </c>
      <c r="H7" s="3">
        <v>0.1381</v>
      </c>
      <c r="I7" s="1">
        <f ca="1">ROUND(G7/((H7*100)+(D7*100)),2)</f>
        <v>4.17</v>
      </c>
      <c r="J7" s="2">
        <f t="shared" si="0"/>
        <v>198.81333333333336</v>
      </c>
      <c r="K7" s="2">
        <f t="shared" si="1"/>
        <v>333.55480419590782</v>
      </c>
      <c r="L7" s="1">
        <f t="shared" ca="1" si="2"/>
        <v>0.59</v>
      </c>
      <c r="M7" s="1">
        <f t="shared" ca="1" si="3"/>
        <v>0.98</v>
      </c>
      <c r="N7" s="1">
        <f t="shared" ca="1" si="4"/>
        <v>3</v>
      </c>
      <c r="O7" s="1">
        <f ca="1">IF(I7&lt;0.75,1,IF(I7&lt;1,2,IF(I7&lt;1.5,3,IF(I7&lt;2,4,5))))</f>
        <v>5</v>
      </c>
      <c r="P7" s="1">
        <f t="shared" ca="1" si="5"/>
        <v>2</v>
      </c>
      <c r="Q7" s="1">
        <f>IF(G7&lt;12, 1, IF(G7&lt;18, 2, IF(G7&lt;25, 3, IF(G7&lt;35, 4, 5))))</f>
        <v>5</v>
      </c>
      <c r="R7" s="3">
        <f t="shared" ca="1" si="6"/>
        <v>0.69325754706283471</v>
      </c>
      <c r="S7" s="1">
        <f t="shared" ca="1" si="7"/>
        <v>4</v>
      </c>
      <c r="T7" s="1">
        <f t="shared" ca="1" si="8"/>
        <v>4</v>
      </c>
      <c r="W7" s="2">
        <v>194.08</v>
      </c>
      <c r="X7" s="2">
        <v>200</v>
      </c>
      <c r="Y7" s="2">
        <v>202.36</v>
      </c>
      <c r="AA7" s="2">
        <f t="shared" si="9"/>
        <v>325.61355575586043</v>
      </c>
      <c r="AB7" s="2">
        <f t="shared" si="10"/>
        <v>335.5457087343986</v>
      </c>
      <c r="AC7" s="2">
        <f t="shared" si="11"/>
        <v>339.50514809746454</v>
      </c>
      <c r="AE7" s="2">
        <v>200.2</v>
      </c>
    </row>
    <row r="8" spans="1:31" thickBot="1" x14ac:dyDescent="0.25">
      <c r="A8" s="1" t="e" vm="5">
        <v>#VALUE!</v>
      </c>
      <c r="B8" s="4" cm="1">
        <f t="array" aca="1" ref="B8" ca="1">_FV(A8,"Price")</f>
        <v>668.16</v>
      </c>
      <c r="C8" s="2">
        <f>0.53*4</f>
        <v>2.12</v>
      </c>
      <c r="D8" s="3">
        <f ca="1">(C8/B8)*100%</f>
        <v>3.1728927203065137E-3</v>
      </c>
      <c r="F8" s="1">
        <v>22.6</v>
      </c>
      <c r="G8" s="1" cm="1">
        <f t="array" aca="1" ref="G8" ca="1">ROUND(_FV(A8,"P/E",TRUE),1)</f>
        <v>22.3</v>
      </c>
      <c r="H8" s="3">
        <v>0.1227</v>
      </c>
      <c r="I8" s="1">
        <f ca="1">ROUND(G8/((H8*100)+(D8*100)),2)</f>
        <v>1.77</v>
      </c>
      <c r="J8" s="2">
        <f t="shared" si="0"/>
        <v>839.14666666666665</v>
      </c>
      <c r="K8" s="2">
        <f t="shared" si="1"/>
        <v>1333.1922007622445</v>
      </c>
      <c r="L8" s="1">
        <f t="shared" ca="1" si="2"/>
        <v>0.5</v>
      </c>
      <c r="M8" s="1">
        <f t="shared" ca="1" si="3"/>
        <v>0.79</v>
      </c>
      <c r="N8" s="1">
        <f t="shared" ca="1" si="4"/>
        <v>1</v>
      </c>
      <c r="O8" s="1">
        <f ca="1">IF(I8&lt;0.75,1,IF(I8&lt;1,2,IF(I8&lt;1.5,3,IF(I8&lt;2,4,5))))</f>
        <v>4</v>
      </c>
      <c r="P8" s="1">
        <f t="shared" ca="1" si="5"/>
        <v>2</v>
      </c>
      <c r="Q8" s="1">
        <f ca="1">IF(G8&lt;12, 1, IF(G8&lt;18, 2, IF(G8&lt;25, 3, IF(G8&lt;35, 4, 5))))</f>
        <v>3</v>
      </c>
      <c r="R8" s="3">
        <f t="shared" ca="1" si="6"/>
        <v>0.99531878706035171</v>
      </c>
      <c r="S8" s="1">
        <f t="shared" ca="1" si="7"/>
        <v>2</v>
      </c>
      <c r="T8" s="1">
        <f t="shared" ca="1" si="8"/>
        <v>3</v>
      </c>
      <c r="W8" s="2">
        <v>831.85</v>
      </c>
      <c r="X8" s="2">
        <v>850</v>
      </c>
      <c r="Y8" s="2">
        <v>835.59</v>
      </c>
      <c r="AA8" s="2">
        <f t="shared" si="9"/>
        <v>1321.5996395593218</v>
      </c>
      <c r="AB8" s="2">
        <f t="shared" si="10"/>
        <v>1350.4354073756367</v>
      </c>
      <c r="AC8" s="2">
        <f t="shared" si="11"/>
        <v>1327.5415553517746</v>
      </c>
      <c r="AE8" s="2">
        <v>842.75</v>
      </c>
    </row>
    <row r="9" spans="1:31" thickBot="1" x14ac:dyDescent="0.25">
      <c r="A9" s="1" t="e" vm="6">
        <v>#VALUE!</v>
      </c>
      <c r="B9" s="4" cm="1">
        <f t="array" aca="1" ref="B9" ca="1">_FV(A9,"Price")</f>
        <v>80.555000000000007</v>
      </c>
      <c r="C9" s="2">
        <v>0</v>
      </c>
      <c r="D9" s="3">
        <v>0</v>
      </c>
      <c r="F9" s="1">
        <v>2.4</v>
      </c>
      <c r="G9" s="1" cm="1">
        <f t="array" aca="1" ref="G9" ca="1">ROUND(_FV(A9,"P/E",TRUE),1)</f>
        <v>31.9</v>
      </c>
      <c r="H9" s="3">
        <v>0.25530000000000003</v>
      </c>
      <c r="I9" s="1">
        <f ca="1">ROUND(G9/((H9*100)+(D9*100)),2)</f>
        <v>1.25</v>
      </c>
      <c r="J9" s="2">
        <f t="shared" si="0"/>
        <v>108.11666666666666</v>
      </c>
      <c r="K9" s="2">
        <f t="shared" si="1"/>
        <v>268.46196387250507</v>
      </c>
      <c r="L9" s="1">
        <f t="shared" ca="1" si="2"/>
        <v>0.3</v>
      </c>
      <c r="M9" s="1">
        <f t="shared" ca="1" si="3"/>
        <v>0.73</v>
      </c>
      <c r="N9" s="1">
        <f t="shared" ca="1" si="4"/>
        <v>1</v>
      </c>
      <c r="O9" s="1">
        <f ca="1">IF(I9&lt;0.75,1,IF(I9&lt;1,2,IF(I9&lt;1.5,3,IF(I9&lt;2,4,5))))</f>
        <v>3</v>
      </c>
      <c r="P9" s="1">
        <f t="shared" ca="1" si="5"/>
        <v>1</v>
      </c>
      <c r="Q9" s="1">
        <f ca="1">IF(G9&lt;12, 1, IF(G9&lt;18, 2, IF(G9&lt;25, 3, IF(G9&lt;35, 4, 5))))</f>
        <v>4</v>
      </c>
      <c r="R9" s="3">
        <f t="shared" ca="1" si="6"/>
        <v>2.3326542594811626</v>
      </c>
      <c r="S9" s="1">
        <f t="shared" ca="1" si="7"/>
        <v>1</v>
      </c>
      <c r="T9" s="1">
        <f t="shared" ca="1" si="8"/>
        <v>2</v>
      </c>
      <c r="W9" s="2">
        <v>124.39</v>
      </c>
      <c r="X9" s="2">
        <v>77</v>
      </c>
      <c r="Y9" s="2">
        <v>122.96</v>
      </c>
      <c r="AA9" s="2">
        <f t="shared" si="9"/>
        <v>308.86989689626245</v>
      </c>
      <c r="AB9" s="2">
        <f t="shared" si="10"/>
        <v>191.19689734715175</v>
      </c>
      <c r="AC9" s="2">
        <f t="shared" si="11"/>
        <v>305.31909737410103</v>
      </c>
      <c r="AE9" s="2">
        <v>110.42</v>
      </c>
    </row>
    <row r="10" spans="1:31" thickBot="1" x14ac:dyDescent="0.25">
      <c r="A10" s="1" t="e" vm="7">
        <v>#VALUE!</v>
      </c>
      <c r="B10" s="4" cm="1">
        <f t="array" aca="1" ref="B10" ca="1">_FV(A10,"Price")</f>
        <v>12.255000000000001</v>
      </c>
      <c r="C10" s="2">
        <v>0.33</v>
      </c>
      <c r="D10" s="3">
        <f ca="1">(C10/B10)*100%</f>
        <v>2.6927784577723379E-2</v>
      </c>
      <c r="F10" s="1">
        <v>0.88</v>
      </c>
      <c r="G10" s="5">
        <v>14.81</v>
      </c>
      <c r="H10" s="3">
        <v>0.1051</v>
      </c>
      <c r="I10" s="1">
        <f ca="1">ROUND(G10/((H10*100)+(D10*100)),2)</f>
        <v>1.1200000000000001</v>
      </c>
      <c r="J10" s="2">
        <f t="shared" si="0"/>
        <v>12.416666666666666</v>
      </c>
      <c r="K10" s="2">
        <f t="shared" si="1"/>
        <v>18.51873589368309</v>
      </c>
      <c r="L10" s="1">
        <f t="shared" ca="1" si="2"/>
        <v>0.66</v>
      </c>
      <c r="M10" s="1" t="e">
        <f t="shared" ca="1" si="3"/>
        <v>#DIV/0!</v>
      </c>
      <c r="N10" s="1" t="e">
        <f t="shared" ca="1" si="4"/>
        <v>#DIV/0!</v>
      </c>
      <c r="O10" s="1">
        <f ca="1">IF(I10&lt;0.75,1,IF(I10&lt;1,2,IF(I10&lt;1.5,3,IF(I10&lt;2,4,5))))</f>
        <v>3</v>
      </c>
      <c r="P10" s="1">
        <f t="shared" ca="1" si="5"/>
        <v>3</v>
      </c>
      <c r="Q10" s="1">
        <f>IF(G10&lt;12, 1, IF(G10&lt;18, 2, IF(G10&lt;25, 3, IF(G10&lt;35, 4, 5))))</f>
        <v>2</v>
      </c>
      <c r="R10" s="3">
        <f t="shared" ca="1" si="6"/>
        <v>0.51111675999046013</v>
      </c>
      <c r="S10" s="1">
        <f t="shared" ca="1" si="7"/>
        <v>4</v>
      </c>
      <c r="T10" s="1">
        <f t="shared" ca="1" si="8"/>
        <v>4</v>
      </c>
      <c r="W10" s="2">
        <v>9.9</v>
      </c>
      <c r="X10" s="2">
        <v>13</v>
      </c>
      <c r="Y10" s="2">
        <v>14.35</v>
      </c>
      <c r="AA10" s="2">
        <f t="shared" si="9"/>
        <v>14.765273987715108</v>
      </c>
      <c r="AB10" s="2">
        <f t="shared" si="10"/>
        <v>19.38874362023196</v>
      </c>
      <c r="AC10" s="2">
        <f t="shared" si="11"/>
        <v>21.402190073102201</v>
      </c>
    </row>
    <row r="11" spans="1:31" thickBot="1" x14ac:dyDescent="0.25">
      <c r="A11" s="1" t="e" vm="8">
        <v>#VALUE!</v>
      </c>
      <c r="B11" s="4" cm="1">
        <f t="array" aca="1" ref="B11" ca="1">_FV(A11,"Price")</f>
        <v>63.39</v>
      </c>
      <c r="C11" s="2">
        <v>0</v>
      </c>
      <c r="D11" s="3">
        <f ca="1">(C11/B11)*100%</f>
        <v>0</v>
      </c>
      <c r="F11" s="1">
        <v>-1.42</v>
      </c>
      <c r="G11" s="5"/>
      <c r="H11" s="3">
        <v>7.9399999999999998E-2</v>
      </c>
      <c r="I11" s="1" t="s">
        <v>13</v>
      </c>
      <c r="J11" s="2">
        <f t="shared" si="0"/>
        <v>111.61333333333334</v>
      </c>
      <c r="K11" s="2">
        <f t="shared" si="1"/>
        <v>151.51154731311249</v>
      </c>
      <c r="L11" s="1">
        <f t="shared" ca="1" si="2"/>
        <v>0.42</v>
      </c>
      <c r="M11" s="1" t="e">
        <f t="shared" ca="1" si="3"/>
        <v>#DIV/0!</v>
      </c>
      <c r="N11" s="1" t="e">
        <f t="shared" ca="1" si="4"/>
        <v>#DIV/0!</v>
      </c>
      <c r="O11" s="1" t="s">
        <v>13</v>
      </c>
      <c r="P11" s="1">
        <f t="shared" ca="1" si="5"/>
        <v>1</v>
      </c>
      <c r="Q11" s="1" t="s">
        <v>13</v>
      </c>
      <c r="R11" s="3">
        <f t="shared" ca="1" si="6"/>
        <v>1.3901490347548902</v>
      </c>
      <c r="S11" s="1">
        <f t="shared" ca="1" si="7"/>
        <v>1</v>
      </c>
      <c r="T11" s="1" t="e">
        <f t="shared" ca="1" si="8"/>
        <v>#VALUE!</v>
      </c>
      <c r="W11" s="2">
        <v>134.68</v>
      </c>
      <c r="X11" s="2">
        <v>65</v>
      </c>
      <c r="Y11" s="2">
        <v>135.16</v>
      </c>
      <c r="AA11" s="2">
        <f t="shared" si="9"/>
        <v>182.82381309398508</v>
      </c>
      <c r="AB11" s="2">
        <f t="shared" si="10"/>
        <v>88.235431029915574</v>
      </c>
      <c r="AC11" s="2">
        <f t="shared" si="11"/>
        <v>183.47539781543676</v>
      </c>
    </row>
    <row r="12" spans="1:31" thickBot="1" x14ac:dyDescent="0.25">
      <c r="A12" s="1" t="e" vm="9">
        <v>#VALUE!</v>
      </c>
      <c r="B12" s="4" cm="1">
        <f t="array" aca="1" ref="B12" ca="1">_FV(A12,"Price")</f>
        <v>201.78</v>
      </c>
      <c r="C12" s="2">
        <f>1.02*4</f>
        <v>4.08</v>
      </c>
      <c r="D12" s="3">
        <f ca="1">(C12/B12)*100%</f>
        <v>2.0220041629497473E-2</v>
      </c>
      <c r="F12" s="1">
        <v>10.4</v>
      </c>
      <c r="G12" s="1" cm="1">
        <f t="array" aca="1" ref="G12" ca="1">ROUND(_FV(A12,"P/E",TRUE),1)</f>
        <v>19.399999999999999</v>
      </c>
      <c r="H12" s="3">
        <v>0.13930000000000001</v>
      </c>
      <c r="I12" s="1">
        <f ca="1">ROUND(G12/((H12*100)+(D12*100)),2)</f>
        <v>1.22</v>
      </c>
      <c r="J12" s="2">
        <f t="shared" si="0"/>
        <v>255.98666666666668</v>
      </c>
      <c r="K12" s="2">
        <f t="shared" si="1"/>
        <v>431.29034374265342</v>
      </c>
      <c r="L12" s="1">
        <f t="shared" ca="1" si="2"/>
        <v>0.47</v>
      </c>
      <c r="M12" s="1">
        <f t="shared" ca="1" si="3"/>
        <v>0.85</v>
      </c>
      <c r="N12" s="1">
        <f t="shared" ca="1" si="4"/>
        <v>2</v>
      </c>
      <c r="O12" s="1">
        <f ca="1">IF(I12&lt;0.75,1,IF(I12&lt;1,2,IF(I12&lt;1.5,3,IF(I12&lt;2,4,5))))</f>
        <v>3</v>
      </c>
      <c r="P12" s="1">
        <f t="shared" ca="1" si="5"/>
        <v>1</v>
      </c>
      <c r="Q12" s="1">
        <f ca="1">IF(G12&lt;12, 1, IF(G12&lt;18, 2, IF(G12&lt;25, 3, IF(G12&lt;35, 4, 5))))</f>
        <v>3</v>
      </c>
      <c r="R12" s="3">
        <f t="shared" ca="1" si="6"/>
        <v>1.1374286041364527</v>
      </c>
      <c r="S12" s="1">
        <f t="shared" ca="1" si="7"/>
        <v>1</v>
      </c>
      <c r="T12" s="1">
        <f t="shared" ca="1" si="8"/>
        <v>2</v>
      </c>
      <c r="W12" s="2">
        <v>263.74</v>
      </c>
      <c r="X12" s="2">
        <v>235</v>
      </c>
      <c r="Y12" s="2">
        <v>269.22000000000003</v>
      </c>
      <c r="AA12" s="2">
        <f t="shared" si="9"/>
        <v>444.35328112930654</v>
      </c>
      <c r="AB12" s="2">
        <f t="shared" si="10"/>
        <v>395.93167917413751</v>
      </c>
      <c r="AC12" s="2">
        <f t="shared" si="11"/>
        <v>453.58607092451626</v>
      </c>
      <c r="AE12" s="2">
        <v>238.53</v>
      </c>
    </row>
    <row r="13" spans="1:31" thickBot="1" x14ac:dyDescent="0.25">
      <c r="A13" s="1" t="e" vm="10">
        <v>#VALUE!</v>
      </c>
      <c r="B13" s="4" cm="1">
        <f t="array" aca="1" ref="B13" ca="1">_FV(A13,"Price")</f>
        <v>107.355</v>
      </c>
      <c r="C13" s="2">
        <f>0.37*4</f>
        <v>1.48</v>
      </c>
      <c r="D13" s="3">
        <f ca="1">(C13/B13)*100%</f>
        <v>1.378603698011271E-2</v>
      </c>
      <c r="F13" s="1">
        <v>6.9</v>
      </c>
      <c r="G13" s="1" cm="1">
        <f t="array" aca="1" ref="G13" ca="1">ROUND(_FV(A13,"P/E",TRUE),1)</f>
        <v>15.8</v>
      </c>
      <c r="H13" s="3">
        <v>0.11849999999999999</v>
      </c>
      <c r="I13" s="1">
        <f ca="1">ROUND(G13/((H13*100)+(D13*100)),2)</f>
        <v>1.19</v>
      </c>
      <c r="J13" s="2">
        <f t="shared" si="0"/>
        <v>128.55333333333331</v>
      </c>
      <c r="K13" s="2">
        <f t="shared" si="1"/>
        <v>201.19968475806573</v>
      </c>
      <c r="L13" s="1">
        <f t="shared" ca="1" si="2"/>
        <v>0.53</v>
      </c>
      <c r="M13" s="1">
        <f t="shared" ca="1" si="3"/>
        <v>0.8</v>
      </c>
      <c r="N13" s="1">
        <f t="shared" ca="1" si="4"/>
        <v>2</v>
      </c>
      <c r="O13" s="1">
        <f ca="1">IF(I13&lt;0.75,1,IF(I13&lt;1,2,IF(I13&lt;1.5,3,IF(I13&lt;2,4,5))))</f>
        <v>3</v>
      </c>
      <c r="P13" s="1">
        <f t="shared" ca="1" si="5"/>
        <v>2</v>
      </c>
      <c r="Q13" s="1">
        <f ca="1">IF(G13&lt;12, 1, IF(G13&lt;18, 2, IF(G13&lt;25, 3, IF(G13&lt;35, 4, 5))))</f>
        <v>2</v>
      </c>
      <c r="R13" s="3">
        <f t="shared" ca="1" si="6"/>
        <v>0.87415290166332005</v>
      </c>
      <c r="S13" s="1">
        <f t="shared" ca="1" si="7"/>
        <v>3</v>
      </c>
      <c r="T13" s="1">
        <f t="shared" ca="1" si="8"/>
        <v>3</v>
      </c>
      <c r="W13" s="2">
        <v>133.19</v>
      </c>
      <c r="X13" s="2">
        <v>120</v>
      </c>
      <c r="Y13" s="2">
        <v>132.47</v>
      </c>
      <c r="AA13" s="2">
        <f t="shared" si="9"/>
        <v>208.45656287605746</v>
      </c>
      <c r="AB13" s="2">
        <f t="shared" si="10"/>
        <v>187.81280535420751</v>
      </c>
      <c r="AC13" s="2">
        <f t="shared" si="11"/>
        <v>207.32968604393224</v>
      </c>
      <c r="AE13" s="2">
        <v>133.97999999999999</v>
      </c>
    </row>
    <row r="14" spans="1:31" thickBot="1" x14ac:dyDescent="0.25">
      <c r="A14" s="1" t="e" vm="11">
        <v>#VALUE!</v>
      </c>
      <c r="B14" s="4" cm="1">
        <f t="array" aca="1" ref="B14" ca="1">_FV(A14,"Price")</f>
        <v>46.814999999999998</v>
      </c>
      <c r="C14" s="2">
        <f>0.69*4</f>
        <v>2.76</v>
      </c>
      <c r="D14" s="3">
        <f ca="1">(C14/B14)*100%</f>
        <v>5.8955462992630568E-2</v>
      </c>
      <c r="F14" s="1">
        <v>4.7</v>
      </c>
      <c r="G14" s="1" cm="1">
        <f t="array" aca="1" ref="G14" ca="1">ROUND(_FV(A14,"P/E",TRUE),1)</f>
        <v>11.5</v>
      </c>
      <c r="H14" s="3">
        <v>2.7699999999999999E-2</v>
      </c>
      <c r="I14" s="1">
        <f ca="1">ROUND(G14/((H14*100)+(D14*100)),2)</f>
        <v>1.33</v>
      </c>
      <c r="J14" s="2">
        <f t="shared" si="0"/>
        <v>49.48</v>
      </c>
      <c r="K14" s="2">
        <f t="shared" si="1"/>
        <v>55.194412764174928</v>
      </c>
      <c r="L14" s="1">
        <f t="shared" ca="1" si="2"/>
        <v>0.85</v>
      </c>
      <c r="M14" s="1" t="e">
        <f t="shared" ca="1" si="3"/>
        <v>#DIV/0!</v>
      </c>
      <c r="N14" s="1" t="e">
        <f t="shared" ca="1" si="4"/>
        <v>#DIV/0!</v>
      </c>
      <c r="O14" s="1">
        <f ca="1">IF(I14&lt;0.75,1,IF(I14&lt;1,2,IF(I14&lt;1.5,3,IF(I14&lt;2,4,5))))</f>
        <v>3</v>
      </c>
      <c r="P14" s="1">
        <f t="shared" ca="1" si="5"/>
        <v>5</v>
      </c>
      <c r="Q14" s="1">
        <f ca="1">IF(G14&lt;12, 1, IF(G14&lt;18, 2, IF(G14&lt;25, 3, IF(G14&lt;35, 4, 5))))</f>
        <v>1</v>
      </c>
      <c r="R14" s="3">
        <f t="shared" ca="1" si="6"/>
        <v>0.1789899127240186</v>
      </c>
      <c r="S14" s="1">
        <f t="shared" ca="1" si="7"/>
        <v>5</v>
      </c>
      <c r="T14" s="1">
        <f t="shared" ca="1" si="8"/>
        <v>4</v>
      </c>
      <c r="W14" s="2">
        <v>47.94</v>
      </c>
      <c r="X14" s="2">
        <v>53</v>
      </c>
      <c r="Y14" s="2">
        <v>47.5</v>
      </c>
      <c r="AA14" s="2">
        <f t="shared" si="9"/>
        <v>53.476559173697375</v>
      </c>
      <c r="AB14" s="2">
        <f t="shared" si="10"/>
        <v>59.120935256695056</v>
      </c>
      <c r="AC14" s="2">
        <f t="shared" si="11"/>
        <v>52.98574386213236</v>
      </c>
    </row>
  </sheetData>
  <sortState xmlns:xlrd2="http://schemas.microsoft.com/office/spreadsheetml/2017/richdata2" ref="A4:AE14">
    <sortCondition ref="A4:A14"/>
  </sortState>
  <conditionalFormatting sqref="N1:N1048576">
    <cfRule type="colorScale" priority="1">
      <colorScale>
        <cfvo type="min"/>
        <cfvo type="percentile" val="50"/>
        <cfvo type="max"/>
        <color rgb="FF63BE7B"/>
        <color rgb="FFFFEB84"/>
        <color rgb="FFF8696B"/>
      </colorScale>
    </cfRule>
  </conditionalFormatting>
  <conditionalFormatting sqref="O1:O1048576">
    <cfRule type="colorScale" priority="6">
      <colorScale>
        <cfvo type="min"/>
        <cfvo type="percentile" val="50"/>
        <cfvo type="max"/>
        <color rgb="FF63BE7B"/>
        <color rgb="FFFFEB84"/>
        <color rgb="FFF8696B"/>
      </colorScale>
    </cfRule>
  </conditionalFormatting>
  <conditionalFormatting sqref="P1:P1048576">
    <cfRule type="colorScale" priority="5">
      <colorScale>
        <cfvo type="min"/>
        <cfvo type="percentile" val="50"/>
        <cfvo type="max"/>
        <color rgb="FF63BE7B"/>
        <color rgb="FFFFEB84"/>
        <color rgb="FFF8696B"/>
      </colorScale>
    </cfRule>
  </conditionalFormatting>
  <conditionalFormatting sqref="Q1:Q1048576">
    <cfRule type="colorScale" priority="4">
      <colorScale>
        <cfvo type="min"/>
        <cfvo type="percentile" val="50"/>
        <cfvo type="max"/>
        <color rgb="FF63BE7B"/>
        <color rgb="FFFFEB84"/>
        <color rgb="FFF8696B"/>
      </colorScale>
    </cfRule>
  </conditionalFormatting>
  <conditionalFormatting sqref="S1:S1048576 T3">
    <cfRule type="colorScale" priority="9">
      <colorScale>
        <cfvo type="min"/>
        <cfvo type="percentile" val="50"/>
        <cfvo type="max"/>
        <color rgb="FF63BE7B"/>
        <color rgb="FFFFEB84"/>
        <color rgb="FFF8696B"/>
      </colorScale>
    </cfRule>
  </conditionalFormatting>
  <conditionalFormatting sqref="S1:S1048576">
    <cfRule type="colorScale" priority="3">
      <colorScale>
        <cfvo type="min"/>
        <cfvo type="percentile" val="50"/>
        <cfvo type="max"/>
        <color rgb="FF63BE7B"/>
        <color rgb="FFFFEB84"/>
        <color rgb="FFF8696B"/>
      </colorScale>
    </cfRule>
  </conditionalFormatting>
  <conditionalFormatting sqref="T1:T1048576">
    <cfRule type="colorScale" priority="2">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7E073-89F1-454B-91BC-C25B77BF7D87}">
  <dimension ref="A1:AD13"/>
  <sheetViews>
    <sheetView workbookViewId="0">
      <selection activeCell="D19" sqref="D19"/>
    </sheetView>
  </sheetViews>
  <sheetFormatPr baseColWidth="10" defaultRowHeight="17" thickBottom="1" x14ac:dyDescent="0.25"/>
  <cols>
    <col min="1" max="1" width="46.6640625" style="6" bestFit="1" customWidth="1"/>
    <col min="2" max="2" width="10.83203125" style="6"/>
    <col min="3" max="3" width="10.83203125" style="7"/>
    <col min="4" max="4" width="11.6640625" style="8" bestFit="1" customWidth="1"/>
    <col min="5" max="5" width="21.5" style="6" bestFit="1" customWidth="1"/>
    <col min="6" max="6" width="23" style="6" bestFit="1" customWidth="1"/>
    <col min="7" max="7" width="10.83203125" style="6"/>
    <col min="8" max="8" width="16" style="8" bestFit="1" customWidth="1"/>
    <col min="9" max="9" width="10.83203125" style="6"/>
    <col min="10" max="10" width="14" style="7" bestFit="1" customWidth="1"/>
    <col min="11" max="11" width="20.1640625" style="7" bestFit="1" customWidth="1"/>
    <col min="12" max="17" width="10.83203125" style="6"/>
    <col min="18" max="18" width="17" style="8" bestFit="1" customWidth="1"/>
    <col min="19" max="19" width="20.6640625" style="6" bestFit="1" customWidth="1"/>
    <col min="20" max="21" width="10.83203125" style="6"/>
    <col min="22" max="22" width="10.5" style="7" bestFit="1" customWidth="1"/>
    <col min="23" max="23" width="10.83203125" style="7" bestFit="1" customWidth="1"/>
    <col min="24" max="24" width="12.5" style="7" bestFit="1" customWidth="1"/>
    <col min="25" max="25" width="12.6640625" style="6" bestFit="1" customWidth="1"/>
    <col min="26" max="26" width="10.83203125" style="7"/>
    <col min="27" max="29" width="10.83203125" style="6"/>
    <col min="30" max="30" width="13" style="6" bestFit="1" customWidth="1"/>
    <col min="31" max="16384" width="10.83203125" style="6"/>
  </cols>
  <sheetData>
    <row r="1" spans="1:30" thickBot="1" x14ac:dyDescent="0.25">
      <c r="E1" s="6" t="s">
        <v>26</v>
      </c>
      <c r="F1" s="6" t="s">
        <v>27</v>
      </c>
      <c r="AD1" s="9"/>
    </row>
    <row r="2" spans="1:30" thickBot="1" x14ac:dyDescent="0.25">
      <c r="W2" s="7" t="s">
        <v>14</v>
      </c>
      <c r="AA2" s="6" t="s">
        <v>20</v>
      </c>
      <c r="AD2" s="9" t="s">
        <v>29</v>
      </c>
    </row>
    <row r="3" spans="1:30" thickBot="1" x14ac:dyDescent="0.25">
      <c r="A3" s="6" t="s">
        <v>0</v>
      </c>
      <c r="B3" s="6" t="s">
        <v>1</v>
      </c>
      <c r="C3" s="7" t="s">
        <v>2</v>
      </c>
      <c r="D3" s="8" t="s">
        <v>3</v>
      </c>
      <c r="E3" s="6" t="s">
        <v>11</v>
      </c>
      <c r="F3" s="6" t="s">
        <v>4</v>
      </c>
      <c r="G3" s="6" t="s">
        <v>5</v>
      </c>
      <c r="H3" s="8" t="s">
        <v>12</v>
      </c>
      <c r="I3" s="6" t="s">
        <v>6</v>
      </c>
      <c r="J3" s="7" t="s">
        <v>16</v>
      </c>
      <c r="K3" s="7" t="s">
        <v>21</v>
      </c>
      <c r="L3" s="6" t="s">
        <v>22</v>
      </c>
      <c r="M3" s="6" t="s">
        <v>7</v>
      </c>
      <c r="N3" s="6" t="s">
        <v>31</v>
      </c>
      <c r="O3" s="6" t="s">
        <v>17</v>
      </c>
      <c r="P3" s="6" t="s">
        <v>18</v>
      </c>
      <c r="Q3" s="6" t="s">
        <v>19</v>
      </c>
      <c r="R3" s="8" t="s">
        <v>23</v>
      </c>
      <c r="S3" s="6" t="s">
        <v>25</v>
      </c>
      <c r="T3" s="6" t="s">
        <v>8</v>
      </c>
      <c r="V3" s="7" t="s">
        <v>9</v>
      </c>
      <c r="W3" s="7" t="s">
        <v>10</v>
      </c>
      <c r="X3" s="7" t="s">
        <v>15</v>
      </c>
      <c r="Z3" s="7" t="s">
        <v>9</v>
      </c>
      <c r="AA3" s="7" t="s">
        <v>10</v>
      </c>
      <c r="AB3" s="7" t="s">
        <v>15</v>
      </c>
      <c r="AD3" s="9"/>
    </row>
    <row r="4" spans="1:30" thickBot="1" x14ac:dyDescent="0.25">
      <c r="A4" s="6" t="e" vm="12">
        <v>#VALUE!</v>
      </c>
      <c r="B4" s="10" cm="1">
        <f t="array" aca="1" ref="B4" ca="1">_FV(A4,"Price")</f>
        <v>243.16</v>
      </c>
      <c r="C4" s="7">
        <v>6.52</v>
      </c>
      <c r="D4" s="8">
        <f ca="1">(C4/B4)*100%</f>
        <v>2.6813620661292975E-2</v>
      </c>
      <c r="F4" s="6">
        <v>12.11</v>
      </c>
      <c r="G4" s="6">
        <v>23.63</v>
      </c>
      <c r="H4" s="8">
        <v>7.8600000000000003E-2</v>
      </c>
      <c r="I4" s="6">
        <f t="shared" ref="I4:I10" ca="1" si="0">ROUND(G4/((H4*100)+(D4*100)),2)</f>
        <v>2.2400000000000002</v>
      </c>
      <c r="J4" s="7">
        <f t="shared" ref="J4:J10" si="1">AVERAGE(V4:X4)</f>
        <v>284.58</v>
      </c>
      <c r="K4" s="7">
        <f t="shared" ref="K4:K10" si="2">AVERAGE(Z4:AB4)</f>
        <v>385.16431090024025</v>
      </c>
      <c r="L4" s="6">
        <f t="shared" ref="L4:L10" ca="1" si="3">ROUND(B4/K4,2)</f>
        <v>0.63</v>
      </c>
      <c r="M4" s="6" t="e">
        <f ca="1">ROUND(B4/AD4,2)</f>
        <v>#VALUE!</v>
      </c>
      <c r="N4" s="6" t="e">
        <f ca="1">IF(M4&lt;0.5,1,IF(M4&lt;0.6,2,IF(M4&lt;1.05,3,IF(M4&lt;1.25,4,5))))</f>
        <v>#VALUE!</v>
      </c>
      <c r="O4" s="6">
        <f t="shared" ref="O4:O10" ca="1" si="4">IF(I4&lt;0.75,1,IF(I4&lt;1,2,IF(I4&lt;1.5,3,IF(I4&lt;2,4,5))))</f>
        <v>5</v>
      </c>
      <c r="P4" s="6">
        <f t="shared" ref="P4:P10" ca="1" si="5">IF(L4&lt;0.5, 1, IF(L4&lt;0.6, 2, IF(L4&lt;0.71, 3, IF(L4&lt;0.85, 4, 5))))</f>
        <v>3</v>
      </c>
      <c r="Q4" s="6">
        <f t="shared" ref="Q4:Q10" si="6">IF(G4&lt;12, 1, IF(G4&lt;18, 2, IF(G4&lt;25, 3, IF(G4&lt;35, 4, 5))))</f>
        <v>3</v>
      </c>
      <c r="R4" s="8">
        <f t="shared" ref="R4:R10" ca="1" si="7">(K4-B4)/B4</f>
        <v>0.5839953565563426</v>
      </c>
      <c r="S4" s="6">
        <f ca="1">IF(R4&gt;70%, 1, IF(R4&gt;60%, 2, IF(R4&gt;45%, 3, IF(R4&gt;35%, 4, 5))))</f>
        <v>3</v>
      </c>
      <c r="T4" s="6">
        <f ca="1">ROUND(O4*0.4+S4*0.55+Q4*0.05,0)</f>
        <v>4</v>
      </c>
      <c r="V4" s="7">
        <v>291.14999999999998</v>
      </c>
      <c r="W4" s="7">
        <v>272</v>
      </c>
      <c r="X4" s="7">
        <v>290.58999999999997</v>
      </c>
      <c r="Z4" s="7">
        <f t="shared" ref="Z4:Z10" si="8">V4*(1+H4)^4</f>
        <v>394.0564660854767</v>
      </c>
      <c r="AA4" s="7">
        <f t="shared" ref="AA4:AA10" si="9">W4*(1+H4)^4</f>
        <v>368.13793156534319</v>
      </c>
      <c r="AB4" s="7">
        <f t="shared" ref="AB4:AB10" si="10">X4*(1+H4)^4</f>
        <v>393.29853504990098</v>
      </c>
      <c r="AD4" s="9" t="s">
        <v>13</v>
      </c>
    </row>
    <row r="5" spans="1:30" thickBot="1" x14ac:dyDescent="0.25">
      <c r="A5" s="6" t="e" vm="13">
        <v>#VALUE!</v>
      </c>
      <c r="B5" s="10" cm="1">
        <f t="array" aca="1" ref="B5" ca="1">_FV(A5,"Price")</f>
        <v>274.24829999999997</v>
      </c>
      <c r="C5" s="7">
        <v>1.04</v>
      </c>
      <c r="D5" s="8">
        <f ca="1">(C5/B5)*100%</f>
        <v>3.7921839442578136E-3</v>
      </c>
      <c r="F5" s="6">
        <v>7.46</v>
      </c>
      <c r="G5" s="6">
        <v>34.25</v>
      </c>
      <c r="H5" s="8">
        <v>0.10489999999999999</v>
      </c>
      <c r="I5" s="6">
        <f t="shared" ca="1" si="0"/>
        <v>3.15</v>
      </c>
      <c r="J5" s="7">
        <f t="shared" si="1"/>
        <v>271.17</v>
      </c>
      <c r="K5" s="7">
        <f t="shared" si="2"/>
        <v>404.14158036873511</v>
      </c>
      <c r="L5" s="6">
        <f t="shared" ca="1" si="3"/>
        <v>0.68</v>
      </c>
      <c r="M5" s="6">
        <f t="shared" ref="M5:M10" ca="1" si="11">ROUND(B5/AD5,2)</f>
        <v>1.1000000000000001</v>
      </c>
      <c r="N5" s="6">
        <f t="shared" ref="N5:N10" ca="1" si="12">IF(M5&lt;0.5,1,IF(M5&lt;0.6,2,IF(M5&lt;1.05,3,IF(M5&lt;1.25,4,5))))</f>
        <v>4</v>
      </c>
      <c r="O5" s="6">
        <f t="shared" ca="1" si="4"/>
        <v>5</v>
      </c>
      <c r="P5" s="6">
        <f t="shared" ca="1" si="5"/>
        <v>3</v>
      </c>
      <c r="Q5" s="6">
        <f t="shared" si="6"/>
        <v>4</v>
      </c>
      <c r="R5" s="8">
        <f t="shared" ca="1" si="7"/>
        <v>0.47363385796278462</v>
      </c>
      <c r="S5" s="6">
        <f t="shared" ref="S5:S10" ca="1" si="13">IF(R5&gt;70%, 1, IF(R5&gt;60%, 2, IF(R5&gt;45%, 3, IF(R5&gt;35%, 4, 5))))</f>
        <v>3</v>
      </c>
      <c r="T5" s="6">
        <f t="shared" ref="T5:T10" ca="1" si="14">ROUND(O5*0.4+S5*0.55+Q5*0.05,0)</f>
        <v>4</v>
      </c>
      <c r="V5" s="7">
        <v>285.93</v>
      </c>
      <c r="W5" s="7">
        <v>240</v>
      </c>
      <c r="X5" s="7">
        <v>287.58</v>
      </c>
      <c r="Z5" s="7">
        <f t="shared" si="8"/>
        <v>426.13932984781661</v>
      </c>
      <c r="AA5" s="7">
        <f t="shared" si="9"/>
        <v>357.68698339969922</v>
      </c>
      <c r="AB5" s="7">
        <f t="shared" si="10"/>
        <v>428.59842785868955</v>
      </c>
      <c r="AD5" s="9">
        <v>248.34</v>
      </c>
    </row>
    <row r="6" spans="1:30" thickBot="1" x14ac:dyDescent="0.25">
      <c r="A6" s="6" t="e" vm="14">
        <v>#VALUE!</v>
      </c>
      <c r="B6" s="10" cm="1">
        <f t="array" aca="1" ref="B6" ca="1">_FV(A6,"Price")</f>
        <v>205.4</v>
      </c>
      <c r="C6" s="7">
        <v>1.04</v>
      </c>
      <c r="D6" s="8">
        <f ca="1">(C6/B6)*100%</f>
        <v>5.0632911392405064E-3</v>
      </c>
      <c r="F6" s="6">
        <v>4.53</v>
      </c>
      <c r="G6" s="6">
        <v>49.22</v>
      </c>
      <c r="H6" s="8">
        <v>0.1799</v>
      </c>
      <c r="I6" s="6">
        <f t="shared" ca="1" si="0"/>
        <v>2.66</v>
      </c>
      <c r="J6" s="7">
        <f t="shared" si="1"/>
        <v>170.72</v>
      </c>
      <c r="K6" s="7">
        <f t="shared" si="2"/>
        <v>330.87595407980984</v>
      </c>
      <c r="L6" s="6">
        <f t="shared" ca="1" si="3"/>
        <v>0.62</v>
      </c>
      <c r="M6" s="6" t="e">
        <f t="shared" ca="1" si="11"/>
        <v>#DIV/0!</v>
      </c>
      <c r="N6" s="6" t="e">
        <f t="shared" ca="1" si="12"/>
        <v>#DIV/0!</v>
      </c>
      <c r="O6" s="6">
        <f t="shared" ca="1" si="4"/>
        <v>5</v>
      </c>
      <c r="P6" s="6">
        <f t="shared" ca="1" si="5"/>
        <v>3</v>
      </c>
      <c r="Q6" s="6">
        <f t="shared" si="6"/>
        <v>5</v>
      </c>
      <c r="R6" s="8">
        <f t="shared" ca="1" si="7"/>
        <v>0.61088585238466331</v>
      </c>
      <c r="S6" s="6">
        <f t="shared" ca="1" si="13"/>
        <v>2</v>
      </c>
      <c r="T6" s="6">
        <f t="shared" ca="1" si="14"/>
        <v>3</v>
      </c>
      <c r="V6" s="7">
        <v>197.81</v>
      </c>
      <c r="W6" s="7">
        <v>115</v>
      </c>
      <c r="X6" s="7">
        <v>199.35</v>
      </c>
      <c r="Z6" s="7">
        <f t="shared" si="8"/>
        <v>383.37964196653695</v>
      </c>
      <c r="AA6" s="7">
        <f t="shared" si="9"/>
        <v>222.88387253501716</v>
      </c>
      <c r="AB6" s="7">
        <f t="shared" si="10"/>
        <v>386.36434773787539</v>
      </c>
      <c r="AD6" s="9"/>
    </row>
    <row r="7" spans="1:30" thickBot="1" x14ac:dyDescent="0.25">
      <c r="A7" s="6" t="e" vm="15">
        <v>#VALUE!</v>
      </c>
      <c r="B7" s="10" cm="1">
        <f t="array" aca="1" ref="B7" ca="1">_FV(A7,"Price")</f>
        <v>97.995000000000005</v>
      </c>
      <c r="C7" s="7">
        <v>2.08</v>
      </c>
      <c r="D7" s="8">
        <f ca="1">(C7/B7)*100%</f>
        <v>2.1225572733302719E-2</v>
      </c>
      <c r="F7" s="6">
        <v>5.74</v>
      </c>
      <c r="G7" s="6">
        <v>18.079999999999998</v>
      </c>
      <c r="H7" s="8">
        <v>8.2000000000000003E-2</v>
      </c>
      <c r="I7" s="6">
        <f t="shared" ca="1" si="0"/>
        <v>1.75</v>
      </c>
      <c r="J7" s="7">
        <f t="shared" si="1"/>
        <v>124.59499999999998</v>
      </c>
      <c r="K7" s="7">
        <f t="shared" si="2"/>
        <v>170.76924467490872</v>
      </c>
      <c r="L7" s="6">
        <f t="shared" ca="1" si="3"/>
        <v>0.56999999999999995</v>
      </c>
      <c r="M7" s="6" t="e">
        <f t="shared" ca="1" si="11"/>
        <v>#DIV/0!</v>
      </c>
      <c r="N7" s="6" t="e">
        <f t="shared" ca="1" si="12"/>
        <v>#DIV/0!</v>
      </c>
      <c r="O7" s="6">
        <f t="shared" ca="1" si="4"/>
        <v>4</v>
      </c>
      <c r="P7" s="6">
        <f t="shared" ca="1" si="5"/>
        <v>2</v>
      </c>
      <c r="Q7" s="6">
        <f t="shared" si="6"/>
        <v>3</v>
      </c>
      <c r="R7" s="8">
        <f t="shared" ca="1" si="7"/>
        <v>0.74263222281655916</v>
      </c>
      <c r="S7" s="6">
        <f t="shared" ca="1" si="13"/>
        <v>1</v>
      </c>
      <c r="T7" s="6">
        <f t="shared" ca="1" si="14"/>
        <v>2</v>
      </c>
      <c r="V7" s="7">
        <v>124.63</v>
      </c>
      <c r="W7" s="7">
        <f>AVERAGE(V7,X7)</f>
        <v>124.595</v>
      </c>
      <c r="X7" s="7">
        <v>124.56</v>
      </c>
      <c r="Z7" s="7">
        <f t="shared" si="8"/>
        <v>170.81721548885488</v>
      </c>
      <c r="AA7" s="7">
        <f t="shared" si="9"/>
        <v>170.76924467490875</v>
      </c>
      <c r="AB7" s="7">
        <f t="shared" si="10"/>
        <v>170.72127386096258</v>
      </c>
      <c r="AD7" s="9"/>
    </row>
    <row r="8" spans="1:30" thickBot="1" x14ac:dyDescent="0.25">
      <c r="A8" s="6" t="e" vm="16">
        <v>#VALUE!</v>
      </c>
      <c r="B8" s="10" cm="1">
        <f t="array" aca="1" ref="B8" ca="1">_FV(A8,"Price")</f>
        <v>172.37989999999999</v>
      </c>
      <c r="C8" s="7">
        <f>0.53*4</f>
        <v>2.12</v>
      </c>
      <c r="D8" s="8">
        <f ca="1">(C8/B8)*100%</f>
        <v>1.2298417622936318E-2</v>
      </c>
      <c r="F8" s="6">
        <v>0.21</v>
      </c>
      <c r="G8" s="6">
        <v>46.07</v>
      </c>
      <c r="H8" s="8">
        <v>0.49280000000000002</v>
      </c>
      <c r="I8" s="6">
        <f t="shared" ca="1" si="0"/>
        <v>0.91</v>
      </c>
      <c r="J8" s="7">
        <f t="shared" si="1"/>
        <v>249.15</v>
      </c>
      <c r="K8" s="7">
        <f t="shared" si="2"/>
        <v>1237.2783028371266</v>
      </c>
      <c r="L8" s="6">
        <f t="shared" ca="1" si="3"/>
        <v>0.14000000000000001</v>
      </c>
      <c r="M8" s="6" t="e">
        <f t="shared" ca="1" si="11"/>
        <v>#DIV/0!</v>
      </c>
      <c r="N8" s="6" t="e">
        <f t="shared" ca="1" si="12"/>
        <v>#DIV/0!</v>
      </c>
      <c r="O8" s="6">
        <f t="shared" ca="1" si="4"/>
        <v>2</v>
      </c>
      <c r="P8" s="6">
        <f t="shared" ca="1" si="5"/>
        <v>1</v>
      </c>
      <c r="Q8" s="6">
        <f t="shared" si="6"/>
        <v>5</v>
      </c>
      <c r="R8" s="8">
        <f t="shared" ca="1" si="7"/>
        <v>6.1776251340041775</v>
      </c>
      <c r="S8" s="6">
        <f t="shared" ca="1" si="13"/>
        <v>1</v>
      </c>
      <c r="T8" s="6">
        <f t="shared" ca="1" si="14"/>
        <v>2</v>
      </c>
      <c r="V8" s="7">
        <v>254.43</v>
      </c>
      <c r="W8" s="7">
        <v>240</v>
      </c>
      <c r="X8" s="7">
        <v>253.02</v>
      </c>
      <c r="Z8" s="7">
        <f t="shared" si="8"/>
        <v>1263.4987701820191</v>
      </c>
      <c r="AA8" s="7">
        <f t="shared" si="9"/>
        <v>1191.8394247678521</v>
      </c>
      <c r="AB8" s="7">
        <f t="shared" si="10"/>
        <v>1256.4967135615082</v>
      </c>
      <c r="AD8" s="9"/>
    </row>
    <row r="9" spans="1:30" thickBot="1" x14ac:dyDescent="0.25">
      <c r="A9" s="6" t="e" vm="17">
        <v>#VALUE!</v>
      </c>
      <c r="B9" s="10" cm="1">
        <f t="array" aca="1" ref="B9" ca="1">_FV(A9,"Price")</f>
        <v>75.2</v>
      </c>
      <c r="C9" s="7">
        <v>0</v>
      </c>
      <c r="D9" s="8">
        <v>0</v>
      </c>
      <c r="F9" s="6">
        <v>1.94</v>
      </c>
      <c r="G9" s="6">
        <v>43.74</v>
      </c>
      <c r="H9" s="8">
        <v>-6.3E-3</v>
      </c>
      <c r="I9" s="6">
        <f t="shared" si="0"/>
        <v>-69.430000000000007</v>
      </c>
      <c r="J9" s="7">
        <f t="shared" si="1"/>
        <v>104.69666666666667</v>
      </c>
      <c r="K9" s="7">
        <f t="shared" si="2"/>
        <v>102.08313857944529</v>
      </c>
      <c r="L9" s="6">
        <f t="shared" ca="1" si="3"/>
        <v>0.74</v>
      </c>
      <c r="M9" s="6" t="e">
        <f t="shared" ca="1" si="11"/>
        <v>#DIV/0!</v>
      </c>
      <c r="N9" s="6" t="e">
        <f t="shared" ca="1" si="12"/>
        <v>#DIV/0!</v>
      </c>
      <c r="O9" s="6">
        <f t="shared" si="4"/>
        <v>1</v>
      </c>
      <c r="P9" s="6">
        <f t="shared" ca="1" si="5"/>
        <v>4</v>
      </c>
      <c r="Q9" s="6">
        <f t="shared" si="6"/>
        <v>5</v>
      </c>
      <c r="R9" s="8">
        <f t="shared" ca="1" si="7"/>
        <v>0.357488544939432</v>
      </c>
      <c r="S9" s="6">
        <f t="shared" ca="1" si="13"/>
        <v>4</v>
      </c>
      <c r="T9" s="6">
        <f t="shared" ca="1" si="14"/>
        <v>3</v>
      </c>
      <c r="V9" s="7">
        <v>110.56</v>
      </c>
      <c r="W9" s="7">
        <v>93</v>
      </c>
      <c r="X9" s="7">
        <v>110.53</v>
      </c>
      <c r="Z9" s="7">
        <f t="shared" si="8"/>
        <v>107.80010635177948</v>
      </c>
      <c r="AA9" s="7">
        <f t="shared" si="9"/>
        <v>90.678454149018549</v>
      </c>
      <c r="AB9" s="7">
        <f t="shared" si="10"/>
        <v>107.77085523753786</v>
      </c>
      <c r="AD9" s="9"/>
    </row>
    <row r="10" spans="1:30" thickBot="1" x14ac:dyDescent="0.25">
      <c r="A10" s="6" t="e" vm="18">
        <v>#VALUE!</v>
      </c>
      <c r="B10" s="10" cm="1">
        <f t="array" aca="1" ref="B10" ca="1">_FV(A10,"Price")</f>
        <v>184.64</v>
      </c>
      <c r="C10" s="7">
        <v>0</v>
      </c>
      <c r="D10" s="8">
        <v>0</v>
      </c>
      <c r="F10" s="6">
        <v>-0.25</v>
      </c>
      <c r="G10" s="6">
        <v>46.61</v>
      </c>
      <c r="H10" s="8">
        <v>0.18479999999999999</v>
      </c>
      <c r="I10" s="6">
        <f t="shared" si="0"/>
        <v>2.52</v>
      </c>
      <c r="J10" s="7">
        <f t="shared" si="1"/>
        <v>313.71333333333331</v>
      </c>
      <c r="K10" s="7">
        <f t="shared" si="2"/>
        <v>618.17745090761355</v>
      </c>
      <c r="L10" s="6">
        <f t="shared" ca="1" si="3"/>
        <v>0.3</v>
      </c>
      <c r="M10" s="6" t="e">
        <f t="shared" ca="1" si="11"/>
        <v>#DIV/0!</v>
      </c>
      <c r="N10" s="6" t="e">
        <f t="shared" ca="1" si="12"/>
        <v>#DIV/0!</v>
      </c>
      <c r="O10" s="6">
        <f t="shared" si="4"/>
        <v>5</v>
      </c>
      <c r="P10" s="6">
        <f t="shared" ca="1" si="5"/>
        <v>1</v>
      </c>
      <c r="Q10" s="6">
        <f t="shared" si="6"/>
        <v>5</v>
      </c>
      <c r="R10" s="8">
        <f t="shared" ca="1" si="7"/>
        <v>2.3480147904441813</v>
      </c>
      <c r="S10" s="6">
        <f t="shared" ca="1" si="13"/>
        <v>1</v>
      </c>
      <c r="T10" s="6">
        <f t="shared" ca="1" si="14"/>
        <v>3</v>
      </c>
      <c r="V10" s="7">
        <v>322.79000000000002</v>
      </c>
      <c r="W10" s="7">
        <v>300</v>
      </c>
      <c r="X10" s="7">
        <v>318.35000000000002</v>
      </c>
      <c r="Z10" s="7">
        <f t="shared" si="8"/>
        <v>636.06317671696638</v>
      </c>
      <c r="AA10" s="7">
        <f t="shared" si="9"/>
        <v>591.15509469032463</v>
      </c>
      <c r="AB10" s="7">
        <f t="shared" si="10"/>
        <v>627.31408131554952</v>
      </c>
      <c r="AD10" s="9"/>
    </row>
    <row r="11" spans="1:30" thickBot="1" x14ac:dyDescent="0.25">
      <c r="B11" s="10"/>
      <c r="G11" s="11"/>
      <c r="W11" s="7" t="s">
        <v>13</v>
      </c>
      <c r="AA11" s="7"/>
      <c r="AB11" s="7"/>
      <c r="AD11" s="9"/>
    </row>
    <row r="12" spans="1:30" thickBot="1" x14ac:dyDescent="0.25">
      <c r="B12" s="10"/>
      <c r="G12" s="11"/>
      <c r="AA12" s="7"/>
      <c r="AB12" s="7"/>
      <c r="AD12" s="9"/>
    </row>
    <row r="13" spans="1:30" thickBot="1" x14ac:dyDescent="0.25">
      <c r="AA13" s="7"/>
      <c r="AB13" s="7"/>
      <c r="AD13" s="9"/>
    </row>
  </sheetData>
  <sortState xmlns:xlrd2="http://schemas.microsoft.com/office/spreadsheetml/2017/richdata2" ref="A3:AB10">
    <sortCondition ref="A3:A10"/>
  </sortState>
  <conditionalFormatting sqref="N1:N1048576">
    <cfRule type="colorScale" priority="1">
      <colorScale>
        <cfvo type="min"/>
        <cfvo type="percentile" val="50"/>
        <cfvo type="max"/>
        <color rgb="FF63BE7B"/>
        <color rgb="FFFFEB84"/>
        <color rgb="FFF8696B"/>
      </colorScale>
    </cfRule>
  </conditionalFormatting>
  <conditionalFormatting sqref="O1:O1048576">
    <cfRule type="colorScale" priority="5">
      <colorScale>
        <cfvo type="min"/>
        <cfvo type="percentile" val="50"/>
        <cfvo type="max"/>
        <color rgb="FF63BE7B"/>
        <color rgb="FFFFEB84"/>
        <color rgb="FFF8696B"/>
      </colorScale>
    </cfRule>
  </conditionalFormatting>
  <conditionalFormatting sqref="P1:P1048576">
    <cfRule type="colorScale" priority="10">
      <colorScale>
        <cfvo type="min"/>
        <cfvo type="percentile" val="50"/>
        <cfvo type="max"/>
        <color rgb="FF63BE7B"/>
        <color rgb="FFFFEB84"/>
        <color rgb="FFF8696B"/>
      </colorScale>
    </cfRule>
  </conditionalFormatting>
  <conditionalFormatting sqref="Q1:Q1048576">
    <cfRule type="colorScale" priority="12">
      <colorScale>
        <cfvo type="min"/>
        <cfvo type="percentile" val="50"/>
        <cfvo type="max"/>
        <color rgb="FF63BE7B"/>
        <color rgb="FFFFEB84"/>
        <color rgb="FFF8696B"/>
      </colorScale>
    </cfRule>
  </conditionalFormatting>
  <conditionalFormatting sqref="S1:S1048576 T3">
    <cfRule type="colorScale" priority="20">
      <colorScale>
        <cfvo type="min"/>
        <cfvo type="percentile" val="50"/>
        <cfvo type="max"/>
        <color rgb="FF63BE7B"/>
        <color rgb="FFFFEB84"/>
        <color rgb="FFF8696B"/>
      </colorScale>
    </cfRule>
  </conditionalFormatting>
  <conditionalFormatting sqref="S1:S1048576">
    <cfRule type="colorScale" priority="8">
      <colorScale>
        <cfvo type="min"/>
        <cfvo type="percentile" val="50"/>
        <cfvo type="max"/>
        <color rgb="FF63BE7B"/>
        <color rgb="FFFFEB84"/>
        <color rgb="FFF8696B"/>
      </colorScale>
    </cfRule>
  </conditionalFormatting>
  <conditionalFormatting sqref="T1:T1048576">
    <cfRule type="colorScale" priority="6">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9D9E-4A4A-7143-978A-48C1B5343895}">
  <dimension ref="A1:AE32"/>
  <sheetViews>
    <sheetView tabSelected="1" topLeftCell="E1" zoomScale="75" workbookViewId="0">
      <selection activeCell="T10" sqref="T10"/>
    </sheetView>
  </sheetViews>
  <sheetFormatPr baseColWidth="10" defaultRowHeight="17" thickBottom="1" x14ac:dyDescent="0.25"/>
  <cols>
    <col min="1" max="1" width="46.6640625" style="6" bestFit="1" customWidth="1"/>
    <col min="2" max="2" width="10.83203125" style="6"/>
    <col min="3" max="3" width="10.83203125" style="7"/>
    <col min="4" max="4" width="11.6640625" style="8" bestFit="1" customWidth="1"/>
    <col min="5" max="5" width="21.5" style="6" bestFit="1" customWidth="1"/>
    <col min="6" max="6" width="23" style="6" bestFit="1" customWidth="1"/>
    <col min="7" max="7" width="10.83203125" style="6"/>
    <col min="8" max="8" width="16" style="8" bestFit="1" customWidth="1"/>
    <col min="9" max="9" width="10.83203125" style="6"/>
    <col min="10" max="10" width="14" style="7" bestFit="1" customWidth="1"/>
    <col min="11" max="11" width="20.1640625" style="7" bestFit="1" customWidth="1"/>
    <col min="12" max="15" width="10.83203125" style="6"/>
    <col min="16" max="16" width="17" style="8" bestFit="1" customWidth="1"/>
    <col min="17" max="17" width="20.6640625" style="6" bestFit="1" customWidth="1"/>
    <col min="18" max="19" width="10.83203125" style="6"/>
    <col min="20" max="20" width="10.5" style="7" bestFit="1" customWidth="1"/>
    <col min="21" max="21" width="10.83203125" style="7" bestFit="1" customWidth="1"/>
    <col min="22" max="22" width="12.5" style="7" bestFit="1" customWidth="1"/>
    <col min="23" max="23" width="12.6640625" style="6" bestFit="1" customWidth="1"/>
    <col min="24" max="25" width="10.83203125" style="7"/>
    <col min="26" max="30" width="10.83203125" style="6"/>
    <col min="31" max="31" width="13.1640625" style="6" bestFit="1" customWidth="1"/>
    <col min="32" max="16384" width="10.83203125" style="6"/>
  </cols>
  <sheetData>
    <row r="1" spans="1:31" thickBot="1" x14ac:dyDescent="0.25">
      <c r="E1" s="6" t="s">
        <v>28</v>
      </c>
      <c r="F1" s="6" t="s">
        <v>27</v>
      </c>
      <c r="AE1" s="9"/>
    </row>
    <row r="2" spans="1:31" thickBot="1" x14ac:dyDescent="0.25">
      <c r="U2" s="7" t="s">
        <v>14</v>
      </c>
      <c r="Y2" s="7" t="s">
        <v>20</v>
      </c>
      <c r="AE2" s="9" t="s">
        <v>29</v>
      </c>
    </row>
    <row r="3" spans="1:31" thickBot="1" x14ac:dyDescent="0.25">
      <c r="A3" s="6" t="s">
        <v>0</v>
      </c>
      <c r="B3" s="6" t="s">
        <v>1</v>
      </c>
      <c r="C3" s="7" t="s">
        <v>2</v>
      </c>
      <c r="D3" s="8" t="s">
        <v>3</v>
      </c>
      <c r="E3" s="6" t="s">
        <v>11</v>
      </c>
      <c r="F3" s="6" t="s">
        <v>4</v>
      </c>
      <c r="G3" s="6" t="s">
        <v>5</v>
      </c>
      <c r="H3" s="8" t="s">
        <v>12</v>
      </c>
      <c r="I3" s="6" t="s">
        <v>6</v>
      </c>
      <c r="J3" s="7" t="s">
        <v>16</v>
      </c>
      <c r="K3" s="7" t="s">
        <v>21</v>
      </c>
      <c r="L3" s="6" t="s">
        <v>22</v>
      </c>
      <c r="M3" s="6" t="s">
        <v>17</v>
      </c>
      <c r="N3" s="6" t="s">
        <v>18</v>
      </c>
      <c r="O3" s="6" t="s">
        <v>19</v>
      </c>
      <c r="P3" s="8" t="s">
        <v>23</v>
      </c>
      <c r="Q3" s="6" t="s">
        <v>25</v>
      </c>
      <c r="R3" s="6" t="s">
        <v>8</v>
      </c>
      <c r="T3" s="7" t="s">
        <v>9</v>
      </c>
      <c r="U3" s="7" t="s">
        <v>10</v>
      </c>
      <c r="V3" s="7" t="s">
        <v>15</v>
      </c>
      <c r="X3" s="7" t="s">
        <v>9</v>
      </c>
      <c r="Y3" s="7" t="s">
        <v>10</v>
      </c>
      <c r="Z3" s="7" t="s">
        <v>15</v>
      </c>
      <c r="AE3" s="9"/>
    </row>
    <row r="4" spans="1:31" thickBot="1" x14ac:dyDescent="0.25">
      <c r="A4" s="6" t="e" vm="19">
        <v>#VALUE!</v>
      </c>
      <c r="B4" s="10" cm="1">
        <f t="array" aca="1" ref="B4" ca="1">_FV(A4,"Price")</f>
        <v>422.01</v>
      </c>
      <c r="C4" s="7">
        <v>0</v>
      </c>
      <c r="D4" s="8">
        <f t="shared" ref="D4:D10" ca="1" si="0">(C4/B4)*100%</f>
        <v>0</v>
      </c>
      <c r="F4" s="6">
        <v>3.16</v>
      </c>
      <c r="G4" s="6">
        <v>193.12</v>
      </c>
      <c r="H4" s="8">
        <v>0.17599999999999999</v>
      </c>
      <c r="I4" s="6">
        <f t="shared" ref="I4:I10" ca="1" si="1">ROUND(G4/((H4*100)+(D4*100)),2)</f>
        <v>10.97</v>
      </c>
      <c r="J4" s="7">
        <f t="shared" ref="J4:J10" si="2">AVERAGE(T4:V4)</f>
        <v>801.85</v>
      </c>
      <c r="K4" s="7">
        <f>AVERAGE(X4:Z4)</f>
        <v>1533.6364451014651</v>
      </c>
      <c r="L4" s="6">
        <f t="shared" ref="L4:L10" ca="1" si="3">ROUND(B4/K4,2)</f>
        <v>0.28000000000000003</v>
      </c>
      <c r="M4" s="6">
        <f t="shared" ref="M4:M10" ca="1" si="4">IF(I4&lt;0.75,1,IF(I4&lt;1,2,IF(I4&lt;1.5,3,IF(I4&lt;2,4,5))))</f>
        <v>5</v>
      </c>
      <c r="N4" s="6">
        <f ca="1">IF(L4&lt;0.65, 1, IF(L4&lt;0.7, 2, IF(L4&lt;0.8, 3, IF(L4&lt;9, 4, 5))))</f>
        <v>1</v>
      </c>
      <c r="O4" s="6">
        <f t="shared" ref="O4:O10" si="5">IF(G4&lt;12, 1, IF(G4&lt;18, 2, IF(G4&lt;25, 3, IF(G4&lt;35, 4, 5))))</f>
        <v>5</v>
      </c>
      <c r="P4" s="8">
        <f t="shared" ref="P4:P10" ca="1" si="6">(K4-B4)/B4</f>
        <v>2.634123468878617</v>
      </c>
      <c r="Q4" s="6">
        <f ca="1">IF(P4&gt;40%, 1, IF(P4&gt;30%, 2, IF(P4&gt;20%, 3, IF(P4&gt;10%, 4, 5))))</f>
        <v>1</v>
      </c>
      <c r="R4" s="6">
        <f ca="1">ROUND(M4*0.5+Q4*0.5,0)</f>
        <v>3</v>
      </c>
      <c r="T4" s="7">
        <v>788.7</v>
      </c>
      <c r="U4" s="7" t="s">
        <v>13</v>
      </c>
      <c r="V4" s="7">
        <v>815</v>
      </c>
      <c r="X4" s="7">
        <f>T4*(1+H4)^4</f>
        <v>1508.4854576934908</v>
      </c>
      <c r="Y4" s="7" t="s">
        <v>13</v>
      </c>
      <c r="Z4" s="7">
        <f>V4*(1+H4)^4</f>
        <v>1558.7874325094394</v>
      </c>
      <c r="AE4" s="9">
        <v>320.39999999999998</v>
      </c>
    </row>
    <row r="5" spans="1:31" thickBot="1" x14ac:dyDescent="0.25">
      <c r="A5" s="6" t="e" vm="20">
        <v>#VALUE!</v>
      </c>
      <c r="B5" s="10" cm="1">
        <f t="array" aca="1" ref="B5" ca="1">_FV(A5,"Price")</f>
        <v>688.22500000000002</v>
      </c>
      <c r="C5" s="7">
        <v>6.04</v>
      </c>
      <c r="D5" s="8">
        <f t="shared" ca="1" si="0"/>
        <v>8.7761996440117694E-3</v>
      </c>
      <c r="F5" s="6">
        <v>19.5</v>
      </c>
      <c r="G5" s="6">
        <v>33.1</v>
      </c>
      <c r="H5" s="8">
        <v>6.9800000000000001E-2</v>
      </c>
      <c r="I5" s="6">
        <f t="shared" ca="1" si="1"/>
        <v>4.21</v>
      </c>
      <c r="J5" s="7">
        <f t="shared" si="2"/>
        <v>599.59333333333336</v>
      </c>
      <c r="K5" s="7">
        <f t="shared" ref="K5:K10" si="7">AVERAGE(X5:Z5)</f>
        <v>785.35709159658472</v>
      </c>
      <c r="L5" s="6">
        <f t="shared" ca="1" si="3"/>
        <v>0.88</v>
      </c>
      <c r="M5" s="6">
        <f t="shared" ca="1" si="4"/>
        <v>5</v>
      </c>
      <c r="N5" s="6">
        <f t="shared" ref="N5:N10" ca="1" si="8">IF(L5&lt;0.65, 1, IF(L5&lt;0.7, 2, IF(L5&lt;0.8, 3, IF(L5&lt;9, 4, 5))))</f>
        <v>4</v>
      </c>
      <c r="O5" s="6">
        <f t="shared" si="5"/>
        <v>4</v>
      </c>
      <c r="P5" s="8">
        <f t="shared" ca="1" si="6"/>
        <v>0.14113420988279224</v>
      </c>
      <c r="Q5" s="6">
        <f ca="1">IF(P5&gt;40%, 1, IF(P5&gt;30%, 2, IF(P5&gt;20%, 3, IF(P5&gt;10%, 4, 5))))</f>
        <v>4</v>
      </c>
      <c r="R5" s="6">
        <f t="shared" ref="R5:R10" ca="1" si="9">ROUND(M5*0.5+Q5*0.5,0)</f>
        <v>5</v>
      </c>
      <c r="T5" s="7">
        <v>598.47</v>
      </c>
      <c r="U5" s="7">
        <v>589</v>
      </c>
      <c r="V5" s="7">
        <v>611.30999999999995</v>
      </c>
      <c r="X5" s="7">
        <f>T5*(1+H5)^4</f>
        <v>783.88573134203421</v>
      </c>
      <c r="Y5" s="7">
        <f>U5*(1+H5)^4</f>
        <v>771.48177145129773</v>
      </c>
      <c r="Z5" s="7">
        <f>V5*(1+H5)^4</f>
        <v>800.70377199642235</v>
      </c>
      <c r="AE5" s="9">
        <v>200.2</v>
      </c>
    </row>
    <row r="6" spans="1:31" thickBot="1" x14ac:dyDescent="0.25">
      <c r="A6" s="6" t="e" vm="21">
        <v>#VALUE!</v>
      </c>
      <c r="B6" s="10" cm="1">
        <f t="array" aca="1" ref="B6" ca="1">_FV(A6,"Price")</f>
        <v>363.03</v>
      </c>
      <c r="C6" s="7">
        <v>5.8</v>
      </c>
      <c r="D6" s="8">
        <f t="shared" ca="1" si="0"/>
        <v>1.5976641048949122E-2</v>
      </c>
      <c r="F6" s="6">
        <v>18.059999999999999</v>
      </c>
      <c r="G6" s="6">
        <v>17</v>
      </c>
      <c r="H6" s="8">
        <v>8.8999999999999996E-2</v>
      </c>
      <c r="I6" s="6">
        <f t="shared" ca="1" si="1"/>
        <v>1.62</v>
      </c>
      <c r="J6" s="7">
        <f t="shared" si="2"/>
        <v>289.15666666666669</v>
      </c>
      <c r="K6" s="7">
        <f t="shared" si="7"/>
        <v>406.67242802184006</v>
      </c>
      <c r="L6" s="6">
        <f t="shared" ca="1" si="3"/>
        <v>0.89</v>
      </c>
      <c r="M6" s="6">
        <f t="shared" ca="1" si="4"/>
        <v>4</v>
      </c>
      <c r="N6" s="6">
        <f t="shared" ca="1" si="8"/>
        <v>4</v>
      </c>
      <c r="O6" s="6">
        <f t="shared" si="5"/>
        <v>2</v>
      </c>
      <c r="P6" s="8">
        <f t="shared" ca="1" si="6"/>
        <v>0.12021713913957549</v>
      </c>
      <c r="Q6" s="6">
        <f t="shared" ref="Q6:Q10" ca="1" si="10">IF(P6&gt;40%, 1, IF(P6&gt;30%, 2, IF(P6&gt;20%, 3, IF(P6&gt;10%, 4, 5))))</f>
        <v>4</v>
      </c>
      <c r="R6" s="6">
        <f t="shared" ca="1" si="9"/>
        <v>4</v>
      </c>
      <c r="T6" s="7">
        <v>309.01</v>
      </c>
      <c r="U6" s="7">
        <v>250</v>
      </c>
      <c r="V6" s="7">
        <v>308.45999999999998</v>
      </c>
      <c r="X6" s="7">
        <f>T6*(1+H6)^4</f>
        <v>434.59432712265141</v>
      </c>
      <c r="Y6" s="7">
        <f>U6*(1+H6)^4</f>
        <v>351.60215456025003</v>
      </c>
      <c r="Z6" s="7">
        <f>V6*(1+H6)^4</f>
        <v>433.82080238261887</v>
      </c>
      <c r="AE6" s="9">
        <v>842.75</v>
      </c>
    </row>
    <row r="7" spans="1:31" thickBot="1" x14ac:dyDescent="0.25">
      <c r="A7" s="6" t="e" vm="22">
        <v>#VALUE!</v>
      </c>
      <c r="B7" s="10" cm="1">
        <f t="array" aca="1" ref="B7" ca="1">_FV(A7,"Price")</f>
        <v>302.32</v>
      </c>
      <c r="C7" s="7">
        <v>1.44</v>
      </c>
      <c r="D7" s="8">
        <f t="shared" ca="1" si="0"/>
        <v>4.7631648584281552E-3</v>
      </c>
      <c r="F7" s="6">
        <v>7.46</v>
      </c>
      <c r="G7" s="6">
        <v>42.69</v>
      </c>
      <c r="H7" s="8">
        <v>0.2167</v>
      </c>
      <c r="I7" s="6">
        <f t="shared" ca="1" si="1"/>
        <v>1.93</v>
      </c>
      <c r="J7" s="7">
        <f t="shared" si="2"/>
        <v>328.16</v>
      </c>
      <c r="K7" s="7">
        <f t="shared" si="7"/>
        <v>719.15031536117874</v>
      </c>
      <c r="L7" s="6">
        <f t="shared" ca="1" si="3"/>
        <v>0.42</v>
      </c>
      <c r="M7" s="6">
        <f t="shared" ca="1" si="4"/>
        <v>4</v>
      </c>
      <c r="N7" s="6">
        <f t="shared" ca="1" si="8"/>
        <v>1</v>
      </c>
      <c r="O7" s="6">
        <f t="shared" si="5"/>
        <v>5</v>
      </c>
      <c r="P7" s="8">
        <f t="shared" ca="1" si="6"/>
        <v>1.3787718819832586</v>
      </c>
      <c r="Q7" s="6">
        <f t="shared" ca="1" si="10"/>
        <v>1</v>
      </c>
      <c r="R7" s="6">
        <f t="shared" ca="1" si="9"/>
        <v>3</v>
      </c>
      <c r="T7" s="7">
        <v>351.54</v>
      </c>
      <c r="U7" s="7">
        <v>279</v>
      </c>
      <c r="V7" s="7">
        <v>353.94</v>
      </c>
      <c r="X7" s="7">
        <f>T7*(1+H7)^4</f>
        <v>770.38670728324223</v>
      </c>
      <c r="Y7" s="7">
        <f>U7*(1+H7)^4</f>
        <v>611.41802165336685</v>
      </c>
      <c r="Z7" s="7">
        <f>V7*(1+H7)^4</f>
        <v>775.64621714692703</v>
      </c>
      <c r="AE7" s="9">
        <v>110.42</v>
      </c>
    </row>
    <row r="8" spans="1:31" thickBot="1" x14ac:dyDescent="0.25">
      <c r="A8" s="6" t="e" vm="23">
        <v>#VALUE!</v>
      </c>
      <c r="B8" s="10" cm="1">
        <f t="array" aca="1" ref="B8" ca="1">_FV(A8,"Price")</f>
        <v>115.22</v>
      </c>
      <c r="C8" s="7">
        <v>6.56</v>
      </c>
      <c r="D8" s="8">
        <f t="shared" ca="1" si="0"/>
        <v>5.6934559972227038E-2</v>
      </c>
      <c r="F8" s="6">
        <v>6.47</v>
      </c>
      <c r="G8" s="6">
        <v>16.77</v>
      </c>
      <c r="H8" s="8">
        <v>1.04E-2</v>
      </c>
      <c r="I8" s="6">
        <f t="shared" ca="1" si="1"/>
        <v>2.4900000000000002</v>
      </c>
      <c r="J8" s="7">
        <f t="shared" si="2"/>
        <v>108.68666666666667</v>
      </c>
      <c r="K8" s="7">
        <f t="shared" si="7"/>
        <v>113.2790556015547</v>
      </c>
      <c r="L8" s="6">
        <f t="shared" ca="1" si="3"/>
        <v>1.02</v>
      </c>
      <c r="M8" s="6">
        <f t="shared" ca="1" si="4"/>
        <v>5</v>
      </c>
      <c r="N8" s="6">
        <f t="shared" ca="1" si="8"/>
        <v>4</v>
      </c>
      <c r="O8" s="6">
        <f t="shared" si="5"/>
        <v>2</v>
      </c>
      <c r="P8" s="8">
        <f t="shared" ca="1" si="6"/>
        <v>-1.6845551106103942E-2</v>
      </c>
      <c r="Q8" s="6">
        <f t="shared" ca="1" si="10"/>
        <v>5</v>
      </c>
      <c r="R8" s="6">
        <f t="shared" ca="1" si="9"/>
        <v>5</v>
      </c>
      <c r="T8" s="7">
        <v>106.77</v>
      </c>
      <c r="U8" s="7">
        <v>113</v>
      </c>
      <c r="V8" s="7">
        <v>106.29</v>
      </c>
      <c r="X8" s="7">
        <f t="shared" ref="X8:X28" si="11">T8*(1+H8)^4</f>
        <v>111.28140311517507</v>
      </c>
      <c r="Y8" s="7">
        <f t="shared" ref="Y8:Y32" si="12">U8*(1+H8)^4</f>
        <v>117.77464224046813</v>
      </c>
      <c r="Z8" s="7">
        <f t="shared" ref="Z8:Z26" si="13">V8*(1+H8)^4</f>
        <v>110.78112144902087</v>
      </c>
      <c r="AE8" s="9"/>
    </row>
    <row r="9" spans="1:31" thickBot="1" x14ac:dyDescent="0.25">
      <c r="A9" s="6" t="e" vm="24">
        <v>#VALUE!</v>
      </c>
      <c r="B9" s="10" cm="1">
        <f t="array" aca="1" ref="B9" ca="1">_FV(A9,"Price")</f>
        <v>161.745</v>
      </c>
      <c r="C9" s="7">
        <v>2.92</v>
      </c>
      <c r="D9" s="8">
        <f t="shared" ca="1" si="0"/>
        <v>1.8053108287736867E-2</v>
      </c>
      <c r="F9" s="6">
        <v>6</v>
      </c>
      <c r="G9" s="6">
        <v>25.98</v>
      </c>
      <c r="H9" s="8">
        <v>8.0299999999999996E-2</v>
      </c>
      <c r="I9" s="6">
        <f t="shared" ca="1" si="1"/>
        <v>2.64</v>
      </c>
      <c r="J9" s="7">
        <f t="shared" si="2"/>
        <v>156.67666666666668</v>
      </c>
      <c r="K9" s="7">
        <f t="shared" si="7"/>
        <v>213.39381496415862</v>
      </c>
      <c r="L9" s="6">
        <f t="shared" ca="1" si="3"/>
        <v>0.76</v>
      </c>
      <c r="M9" s="6">
        <f t="shared" ca="1" si="4"/>
        <v>5</v>
      </c>
      <c r="N9" s="6">
        <f t="shared" ca="1" si="8"/>
        <v>3</v>
      </c>
      <c r="O9" s="6">
        <f t="shared" si="5"/>
        <v>4</v>
      </c>
      <c r="P9" s="8">
        <f t="shared" ca="1" si="6"/>
        <v>0.31932248269905478</v>
      </c>
      <c r="Q9" s="6">
        <f t="shared" ca="1" si="10"/>
        <v>2</v>
      </c>
      <c r="R9" s="6">
        <f t="shared" ca="1" si="9"/>
        <v>4</v>
      </c>
      <c r="T9" s="7">
        <v>172.47</v>
      </c>
      <c r="U9" s="7">
        <v>120</v>
      </c>
      <c r="V9" s="7">
        <v>177.56</v>
      </c>
      <c r="X9" s="7">
        <f t="shared" si="11"/>
        <v>234.90435461695063</v>
      </c>
      <c r="Y9" s="7">
        <f t="shared" si="12"/>
        <v>163.44014932471777</v>
      </c>
      <c r="Z9" s="7">
        <f t="shared" si="13"/>
        <v>241.83694095080742</v>
      </c>
      <c r="AE9" s="9"/>
    </row>
    <row r="10" spans="1:31" ht="35" customHeight="1" thickBot="1" x14ac:dyDescent="0.25">
      <c r="A10" s="6" t="e" vm="25">
        <v>#VALUE!</v>
      </c>
      <c r="B10" s="10" cm="1">
        <f t="array" aca="1" ref="B10" ca="1">_FV(A10,"Price")</f>
        <v>10.875</v>
      </c>
      <c r="C10" s="7">
        <v>0.32</v>
      </c>
      <c r="D10" s="8">
        <f t="shared" ca="1" si="0"/>
        <v>2.9425287356321838E-2</v>
      </c>
      <c r="F10" s="12">
        <v>12538.13</v>
      </c>
      <c r="G10" s="6">
        <v>0</v>
      </c>
      <c r="H10" s="13">
        <v>1.1863999999999999</v>
      </c>
      <c r="I10" s="6">
        <f t="shared" ca="1" si="1"/>
        <v>0</v>
      </c>
      <c r="J10" s="7">
        <f t="shared" si="2"/>
        <v>13.5</v>
      </c>
      <c r="K10" s="14">
        <f t="shared" si="7"/>
        <v>29.516399999999997</v>
      </c>
      <c r="L10" s="6">
        <f t="shared" ca="1" si="3"/>
        <v>0.37</v>
      </c>
      <c r="M10" s="6">
        <f t="shared" ca="1" si="4"/>
        <v>1</v>
      </c>
      <c r="N10" s="6">
        <f t="shared" ca="1" si="8"/>
        <v>1</v>
      </c>
      <c r="O10" s="6">
        <f t="shared" si="5"/>
        <v>1</v>
      </c>
      <c r="P10" s="13">
        <f t="shared" ca="1" si="6"/>
        <v>1.7141517241379307</v>
      </c>
      <c r="Q10" s="6">
        <f t="shared" ca="1" si="10"/>
        <v>1</v>
      </c>
      <c r="R10" s="6">
        <f t="shared" ca="1" si="9"/>
        <v>1</v>
      </c>
      <c r="T10" s="14">
        <v>13.5</v>
      </c>
      <c r="U10" s="14" t="s">
        <v>13</v>
      </c>
      <c r="V10" s="14">
        <v>13.5</v>
      </c>
      <c r="W10" s="15"/>
      <c r="X10" s="14">
        <f>T10*(1+H10)^1</f>
        <v>29.516399999999997</v>
      </c>
      <c r="Y10" s="14" t="s">
        <v>13</v>
      </c>
      <c r="Z10" s="14">
        <f>V10*(1+H10)^1</f>
        <v>29.516399999999997</v>
      </c>
      <c r="AE10" s="9">
        <v>238.53</v>
      </c>
    </row>
    <row r="11" spans="1:31" thickBot="1" x14ac:dyDescent="0.25">
      <c r="B11" s="10"/>
      <c r="G11" s="11"/>
      <c r="U11" s="7" t="s">
        <v>13</v>
      </c>
      <c r="X11" s="7">
        <f t="shared" si="11"/>
        <v>0</v>
      </c>
      <c r="Y11" s="7" t="e">
        <f t="shared" si="12"/>
        <v>#VALUE!</v>
      </c>
      <c r="Z11" s="7">
        <f t="shared" si="13"/>
        <v>0</v>
      </c>
      <c r="AE11" s="9">
        <v>133.97999999999999</v>
      </c>
    </row>
    <row r="12" spans="1:31" thickBot="1" x14ac:dyDescent="0.25">
      <c r="B12" s="10"/>
      <c r="G12" s="11"/>
      <c r="X12" s="7">
        <f t="shared" si="11"/>
        <v>0</v>
      </c>
      <c r="Y12" s="7">
        <f t="shared" si="12"/>
        <v>0</v>
      </c>
      <c r="Z12" s="7">
        <f t="shared" si="13"/>
        <v>0</v>
      </c>
      <c r="AE12" s="9"/>
    </row>
    <row r="13" spans="1:31" thickBot="1" x14ac:dyDescent="0.25">
      <c r="X13" s="7">
        <f t="shared" si="11"/>
        <v>0</v>
      </c>
      <c r="Y13" s="7">
        <f t="shared" si="12"/>
        <v>0</v>
      </c>
      <c r="Z13" s="7">
        <f t="shared" si="13"/>
        <v>0</v>
      </c>
      <c r="AE13" s="9"/>
    </row>
    <row r="14" spans="1:31" thickBot="1" x14ac:dyDescent="0.25">
      <c r="X14" s="7">
        <f t="shared" si="11"/>
        <v>0</v>
      </c>
      <c r="Y14" s="7">
        <f t="shared" si="12"/>
        <v>0</v>
      </c>
      <c r="Z14" s="7">
        <f t="shared" si="13"/>
        <v>0</v>
      </c>
    </row>
    <row r="15" spans="1:31" thickBot="1" x14ac:dyDescent="0.25">
      <c r="X15" s="7">
        <f t="shared" si="11"/>
        <v>0</v>
      </c>
      <c r="Y15" s="7">
        <f t="shared" si="12"/>
        <v>0</v>
      </c>
      <c r="Z15" s="7">
        <f t="shared" si="13"/>
        <v>0</v>
      </c>
    </row>
    <row r="16" spans="1:31" thickBot="1" x14ac:dyDescent="0.25">
      <c r="X16" s="7">
        <f t="shared" si="11"/>
        <v>0</v>
      </c>
      <c r="Y16" s="7">
        <f t="shared" si="12"/>
        <v>0</v>
      </c>
      <c r="Z16" s="7">
        <f t="shared" si="13"/>
        <v>0</v>
      </c>
    </row>
    <row r="17" spans="24:26" thickBot="1" x14ac:dyDescent="0.25">
      <c r="X17" s="7">
        <f t="shared" si="11"/>
        <v>0</v>
      </c>
      <c r="Y17" s="7">
        <f t="shared" si="12"/>
        <v>0</v>
      </c>
      <c r="Z17" s="7">
        <f t="shared" si="13"/>
        <v>0</v>
      </c>
    </row>
    <row r="18" spans="24:26" thickBot="1" x14ac:dyDescent="0.25">
      <c r="X18" s="7">
        <f t="shared" si="11"/>
        <v>0</v>
      </c>
      <c r="Y18" s="7">
        <f t="shared" si="12"/>
        <v>0</v>
      </c>
      <c r="Z18" s="7">
        <f t="shared" si="13"/>
        <v>0</v>
      </c>
    </row>
    <row r="19" spans="24:26" thickBot="1" x14ac:dyDescent="0.25">
      <c r="X19" s="7">
        <f t="shared" si="11"/>
        <v>0</v>
      </c>
      <c r="Y19" s="7">
        <f t="shared" si="12"/>
        <v>0</v>
      </c>
      <c r="Z19" s="7">
        <f t="shared" si="13"/>
        <v>0</v>
      </c>
    </row>
    <row r="20" spans="24:26" thickBot="1" x14ac:dyDescent="0.25">
      <c r="X20" s="7">
        <f t="shared" si="11"/>
        <v>0</v>
      </c>
      <c r="Y20" s="7">
        <f t="shared" si="12"/>
        <v>0</v>
      </c>
      <c r="Z20" s="7">
        <f t="shared" si="13"/>
        <v>0</v>
      </c>
    </row>
    <row r="21" spans="24:26" thickBot="1" x14ac:dyDescent="0.25">
      <c r="X21" s="7">
        <f t="shared" si="11"/>
        <v>0</v>
      </c>
      <c r="Y21" s="7">
        <f t="shared" si="12"/>
        <v>0</v>
      </c>
      <c r="Z21" s="7">
        <f t="shared" si="13"/>
        <v>0</v>
      </c>
    </row>
    <row r="22" spans="24:26" thickBot="1" x14ac:dyDescent="0.25">
      <c r="X22" s="7">
        <f t="shared" si="11"/>
        <v>0</v>
      </c>
      <c r="Y22" s="7">
        <f t="shared" si="12"/>
        <v>0</v>
      </c>
      <c r="Z22" s="7">
        <f t="shared" si="13"/>
        <v>0</v>
      </c>
    </row>
    <row r="23" spans="24:26" thickBot="1" x14ac:dyDescent="0.25">
      <c r="X23" s="7">
        <f t="shared" si="11"/>
        <v>0</v>
      </c>
      <c r="Y23" s="7">
        <f t="shared" si="12"/>
        <v>0</v>
      </c>
      <c r="Z23" s="7">
        <f t="shared" si="13"/>
        <v>0</v>
      </c>
    </row>
    <row r="24" spans="24:26" thickBot="1" x14ac:dyDescent="0.25">
      <c r="X24" s="7">
        <f t="shared" si="11"/>
        <v>0</v>
      </c>
      <c r="Y24" s="7">
        <f t="shared" si="12"/>
        <v>0</v>
      </c>
      <c r="Z24" s="7">
        <f t="shared" si="13"/>
        <v>0</v>
      </c>
    </row>
    <row r="25" spans="24:26" thickBot="1" x14ac:dyDescent="0.25">
      <c r="X25" s="7">
        <f t="shared" si="11"/>
        <v>0</v>
      </c>
      <c r="Y25" s="7">
        <f t="shared" si="12"/>
        <v>0</v>
      </c>
      <c r="Z25" s="7">
        <f t="shared" si="13"/>
        <v>0</v>
      </c>
    </row>
    <row r="26" spans="24:26" thickBot="1" x14ac:dyDescent="0.25">
      <c r="X26" s="7">
        <f t="shared" si="11"/>
        <v>0</v>
      </c>
      <c r="Y26" s="7">
        <f t="shared" si="12"/>
        <v>0</v>
      </c>
      <c r="Z26" s="7">
        <f t="shared" si="13"/>
        <v>0</v>
      </c>
    </row>
    <row r="27" spans="24:26" thickBot="1" x14ac:dyDescent="0.25">
      <c r="X27" s="7">
        <f t="shared" si="11"/>
        <v>0</v>
      </c>
      <c r="Y27" s="7">
        <f t="shared" si="12"/>
        <v>0</v>
      </c>
    </row>
    <row r="28" spans="24:26" thickBot="1" x14ac:dyDescent="0.25">
      <c r="X28" s="7">
        <f t="shared" si="11"/>
        <v>0</v>
      </c>
      <c r="Y28" s="7">
        <f t="shared" si="12"/>
        <v>0</v>
      </c>
    </row>
    <row r="29" spans="24:26" thickBot="1" x14ac:dyDescent="0.25">
      <c r="Y29" s="7">
        <f t="shared" si="12"/>
        <v>0</v>
      </c>
    </row>
    <row r="30" spans="24:26" thickBot="1" x14ac:dyDescent="0.25">
      <c r="Y30" s="7">
        <f t="shared" si="12"/>
        <v>0</v>
      </c>
    </row>
    <row r="31" spans="24:26" thickBot="1" x14ac:dyDescent="0.25">
      <c r="Y31" s="7">
        <f t="shared" si="12"/>
        <v>0</v>
      </c>
    </row>
    <row r="32" spans="24:26" thickBot="1" x14ac:dyDescent="0.25">
      <c r="Y32" s="7">
        <f t="shared" si="12"/>
        <v>0</v>
      </c>
    </row>
  </sheetData>
  <sortState xmlns:xlrd2="http://schemas.microsoft.com/office/spreadsheetml/2017/richdata2" ref="A4:Z7">
    <sortCondition ref="A4:A7"/>
  </sortState>
  <conditionalFormatting sqref="M1:M1048576">
    <cfRule type="colorScale" priority="2">
      <colorScale>
        <cfvo type="min"/>
        <cfvo type="percentile" val="50"/>
        <cfvo type="max"/>
        <color rgb="FF63BE7B"/>
        <color rgb="FFFFEB84"/>
        <color rgb="FFF8696B"/>
      </colorScale>
    </cfRule>
  </conditionalFormatting>
  <conditionalFormatting sqref="N1:N1048576">
    <cfRule type="colorScale" priority="5">
      <colorScale>
        <cfvo type="min"/>
        <cfvo type="percentile" val="50"/>
        <cfvo type="max"/>
        <color rgb="FF63BE7B"/>
        <color rgb="FFFFEB84"/>
        <color rgb="FFF8696B"/>
      </colorScale>
    </cfRule>
  </conditionalFormatting>
  <conditionalFormatting sqref="O1:O1048576">
    <cfRule type="colorScale" priority="6">
      <colorScale>
        <cfvo type="min"/>
        <cfvo type="percentile" val="50"/>
        <cfvo type="max"/>
        <color rgb="FF63BE7B"/>
        <color rgb="FFFFEB84"/>
        <color rgb="FFF8696B"/>
      </colorScale>
    </cfRule>
  </conditionalFormatting>
  <conditionalFormatting sqref="Q1:Q1048576 R3">
    <cfRule type="colorScale" priority="7">
      <colorScale>
        <cfvo type="min"/>
        <cfvo type="percentile" val="50"/>
        <cfvo type="max"/>
        <color rgb="FF63BE7B"/>
        <color rgb="FFFFEB84"/>
        <color rgb="FFF8696B"/>
      </colorScale>
    </cfRule>
  </conditionalFormatting>
  <conditionalFormatting sqref="Q1:Q1048576">
    <cfRule type="colorScale" priority="1">
      <colorScale>
        <cfvo type="min"/>
        <cfvo type="percentile" val="50"/>
        <cfvo type="max"/>
        <color rgb="FF63BE7B"/>
        <color rgb="FFFFEB84"/>
        <color rgb="FFF8696B"/>
      </colorScale>
    </cfRule>
  </conditionalFormatting>
  <conditionalFormatting sqref="R1:R1048576">
    <cfRule type="colorScale" priority="3">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Comm Services</vt:lpstr>
      <vt:lpstr>Tech</vt:lpstr>
      <vt:lpstr>Industrials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Grant</dc:creator>
  <cp:lastModifiedBy>Alexander Grant</cp:lastModifiedBy>
  <dcterms:created xsi:type="dcterms:W3CDTF">2026-01-16T15:59:39Z</dcterms:created>
  <dcterms:modified xsi:type="dcterms:W3CDTF">2026-02-04T17:40:11Z</dcterms:modified>
</cp:coreProperties>
</file>